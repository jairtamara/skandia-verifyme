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Clientes" sheetId="1" state="visible" r:id="rId1"/>
    <sheet name="Resumen" sheetId="2" state="visible" r:id="rId2"/>
    <sheet name="Lis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%"/>
    <numFmt numFmtId="165" formatCode="yyyy-mm-dd h:mm:ss"/>
    <numFmt numFmtId="166" formatCode="dd/mm/yyyy"/>
  </numFmts>
  <fonts count="8">
    <font>
      <name val="Calibri"/>
      <family val="2"/>
      <color theme="1"/>
      <sz val="11"/>
      <scheme val="minor"/>
    </font>
    <font>
      <name val="Arial"/>
      <family val="2"/>
      <color rgb="FFffffff"/>
      <sz val="14"/>
    </font>
    <font>
      <name val="Arial"/>
      <family val="2"/>
      <color rgb="FF595959"/>
      <sz val="10"/>
    </font>
    <font>
      <name val="Arial"/>
      <family val="2"/>
      <color theme="1"/>
      <sz val="11"/>
    </font>
    <font>
      <name val="Arial"/>
      <family val="2"/>
      <color rgb="FF1f3864"/>
      <sz val="12"/>
    </font>
    <font>
      <name val="Arial"/>
      <family val="2"/>
      <color rgb="FFffffff"/>
      <sz val="10"/>
    </font>
    <font>
      <name val="Calibri"/>
      <family val="2"/>
      <color theme="1"/>
      <sz val="11"/>
    </font>
    <font>
      <name val="Arial"/>
      <family val="2"/>
      <color theme="1"/>
      <sz val="10"/>
    </font>
  </fonts>
  <fills count="7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7f7f7f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8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2"/>
  </cellStyleXfs>
  <cellXfs count="31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2" fillId="0" borderId="2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3" applyAlignment="1" pivotButton="0" quotePrefix="0" xfId="0">
      <alignment horizontal="left" wrapText="1"/>
    </xf>
    <xf numFmtId="1" fontId="4" fillId="0" borderId="3" applyAlignment="1" pivotButton="0" quotePrefix="0" xfId="0">
      <alignment horizontal="center" wrapText="1"/>
    </xf>
    <xf numFmtId="164" fontId="4" fillId="0" borderId="3" applyAlignment="1" pivotButton="0" quotePrefix="0" xfId="0">
      <alignment horizontal="center" wrapText="1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 wrapText="1"/>
    </xf>
    <xf numFmtId="1" fontId="0" fillId="0" borderId="0" applyAlignment="1" pivotButton="0" quotePrefix="0" xfId="0">
      <alignment horizontal="center"/>
    </xf>
    <xf numFmtId="0" fontId="5" fillId="3" borderId="3" applyAlignment="1" pivotButton="0" quotePrefix="0" xfId="0">
      <alignment horizontal="center" wrapText="1"/>
    </xf>
    <xf numFmtId="1" fontId="5" fillId="3" borderId="3" applyAlignment="1" pivotButton="0" quotePrefix="0" xfId="0">
      <alignment horizontal="center" wrapText="1"/>
    </xf>
    <xf numFmtId="0" fontId="5" fillId="4" borderId="3" applyAlignment="1" pivotButton="0" quotePrefix="0" xfId="0">
      <alignment horizontal="center" wrapText="1"/>
    </xf>
    <xf numFmtId="165" fontId="6" fillId="0" borderId="2" applyAlignment="1" pivotButton="0" quotePrefix="0" xfId="0">
      <alignment horizontal="right"/>
    </xf>
    <xf numFmtId="3" fontId="6" fillId="0" borderId="2" applyAlignment="1" pivotButton="0" quotePrefix="0" xfId="0">
      <alignment horizontal="right"/>
    </xf>
    <xf numFmtId="0" fontId="7" fillId="5" borderId="3" applyAlignment="1" pivotButton="0" quotePrefix="0" xfId="0">
      <alignment horizontal="center" wrapText="1"/>
    </xf>
    <xf numFmtId="0" fontId="7" fillId="5" borderId="3" applyAlignment="1" pivotButton="0" quotePrefix="0" xfId="0">
      <alignment horizontal="left" wrapText="1"/>
    </xf>
    <xf numFmtId="166" fontId="7" fillId="5" borderId="3" applyAlignment="1" pivotButton="0" quotePrefix="0" xfId="0">
      <alignment horizontal="center" wrapText="1"/>
    </xf>
    <xf numFmtId="0" fontId="7" fillId="6" borderId="3" applyAlignment="1" pivotButton="0" quotePrefix="0" xfId="0">
      <alignment horizontal="center" wrapText="1"/>
    </xf>
    <xf numFmtId="1" fontId="7" fillId="5" borderId="3" applyAlignment="1" pivotButton="0" quotePrefix="0" xfId="0">
      <alignment horizontal="center" wrapText="1"/>
    </xf>
    <xf numFmtId="14" fontId="7" fillId="6" borderId="3" applyAlignment="1" pivotButton="0" quotePrefix="0" xfId="0">
      <alignment horizontal="center" wrapText="1"/>
    </xf>
    <xf numFmtId="1" fontId="0" fillId="0" borderId="0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165" fontId="0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Clientes" displayName="Clientes" ref="A2:O302" headerRowCount="1" totalsRowShown="0">
  <autoFilter ref="A2:O302"/>
  <tableColumns count="15">
    <tableColumn id="1" name="ID cliente"/>
    <tableColumn id="2" name="Tipo de documento"/>
    <tableColumn id="3" name="Número de documento"/>
    <tableColumn id="4" name="Nombre completo / Razón social"/>
    <tableColumn id="5" name="Teléfono"/>
    <tableColumn id="6" name="Correo electrónico"/>
    <tableColumn id="7" name="Ciudad"/>
    <tableColumn id="8" name="Dirección"/>
    <tableColumn id="9" name="Fecha de registro"/>
    <tableColumn id="10" name="Fecha de última actualización"/>
    <tableColumn id="11" name="Estado de actualización"/>
    <tableColumn id="12" name="Responsable de la actualización"/>
    <tableColumn id="13" name="Observaciones"/>
    <tableColumn id="14" name="Productos"/>
    <tableColumn id="15" name="Score creditici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O54"/>
  <sheetViews>
    <sheetView tabSelected="1" workbookViewId="0">
      <pane xSplit="0" ySplit="2" topLeftCell="A3" activePane="bottomLeft" state="frozen"/>
      <selection activeCell="A1" sqref="A1"/>
    </sheetView>
  </sheetViews>
  <sheetFormatPr baseColWidth="8" defaultRowHeight="15"/>
  <cols>
    <col width="10.005" bestFit="1" customWidth="1" style="13" min="1" max="1"/>
    <col width="16.005" bestFit="1" customWidth="1" style="13" min="2" max="2"/>
    <col width="18.005" bestFit="1" customWidth="1" style="13" min="3" max="3"/>
    <col width="30.005" bestFit="1" customWidth="1" style="12" min="4" max="4"/>
    <col width="14.005" bestFit="1" customWidth="1" style="13" min="5" max="5"/>
    <col width="49.43357142857143" bestFit="1" customWidth="1" style="13" min="6" max="6"/>
    <col width="14.005" bestFit="1" customWidth="1" style="13" min="7" max="7"/>
    <col width="26.005" bestFit="1" customWidth="1" style="12" min="8" max="8"/>
    <col width="16.005" bestFit="1" customWidth="1" style="26" min="9" max="9"/>
    <col width="20.005" bestFit="1" customWidth="1" style="26" min="10" max="10"/>
    <col width="20.005" bestFit="1" customWidth="1" style="13" min="11" max="11"/>
    <col width="22.005" bestFit="1" customWidth="1" style="13" min="12" max="12"/>
    <col width="32.005" bestFit="1" customWidth="1" style="12" min="13" max="13"/>
    <col width="34.005" bestFit="1" customWidth="1" style="12" min="14" max="14"/>
    <col width="16.005" bestFit="1" customWidth="1" style="26" min="15" max="15"/>
  </cols>
  <sheetData>
    <row r="1" ht="18.75" customHeight="1">
      <c r="A1" s="13" t="n"/>
      <c r="B1" s="13" t="n"/>
      <c r="C1" s="13" t="n"/>
      <c r="D1" s="12" t="n"/>
      <c r="E1" s="13" t="n"/>
      <c r="F1" s="13" t="n"/>
      <c r="G1" s="13" t="n"/>
      <c r="H1" s="12" t="n"/>
      <c r="I1" s="26" t="n"/>
      <c r="J1" s="26" t="n"/>
      <c r="K1" s="13" t="n"/>
      <c r="L1" s="13" t="n"/>
      <c r="M1" s="12" t="n"/>
      <c r="N1" s="12" t="n"/>
      <c r="O1" s="26" t="n"/>
    </row>
    <row r="2" ht="25.5" customFormat="1" customHeight="1" s="3">
      <c r="A2" s="15" t="inlineStr">
        <is>
          <t>ID cliente</t>
        </is>
      </c>
      <c r="B2" s="15" t="inlineStr">
        <is>
          <t>Tipo de documento</t>
        </is>
      </c>
      <c r="C2" s="15" t="inlineStr">
        <is>
          <t>Número de documento</t>
        </is>
      </c>
      <c r="D2" s="15" t="inlineStr">
        <is>
          <t>Nombre completo / Razón social</t>
        </is>
      </c>
      <c r="E2" s="15" t="inlineStr">
        <is>
          <t>Teléfono</t>
        </is>
      </c>
      <c r="F2" s="15" t="inlineStr">
        <is>
          <t>Correo electrónico</t>
        </is>
      </c>
      <c r="G2" s="15" t="inlineStr">
        <is>
          <t>Ciudad</t>
        </is>
      </c>
      <c r="H2" s="15" t="inlineStr">
        <is>
          <t>Dirección</t>
        </is>
      </c>
      <c r="I2" s="16" t="inlineStr">
        <is>
          <t>Fecha de registro</t>
        </is>
      </c>
      <c r="J2" s="16" t="inlineStr">
        <is>
          <t>Fecha de última actualización</t>
        </is>
      </c>
      <c r="K2" s="17" t="inlineStr">
        <is>
          <t>Estado de actualización</t>
        </is>
      </c>
      <c r="L2" s="15" t="inlineStr">
        <is>
          <t>Responsable de la actualización</t>
        </is>
      </c>
      <c r="M2" s="15" t="inlineStr">
        <is>
          <t>Observaciones</t>
        </is>
      </c>
      <c r="N2" s="15" t="inlineStr">
        <is>
          <t>Productos</t>
        </is>
      </c>
      <c r="O2" s="16" t="inlineStr">
        <is>
          <t>Score crediticio</t>
        </is>
      </c>
    </row>
    <row r="3" ht="32.25" customHeight="1">
      <c r="A3" s="13" t="inlineStr">
        <is>
          <t>C-0001</t>
        </is>
      </c>
      <c r="B3" s="13" t="inlineStr">
        <is>
          <t>CC</t>
        </is>
      </c>
      <c r="C3" s="13" t="inlineStr">
        <is>
          <t>1090825067</t>
        </is>
      </c>
      <c r="D3" s="12" t="inlineStr">
        <is>
          <t>Maria Fernanda Cardenas Suarez</t>
        </is>
      </c>
      <c r="E3" s="13" t="n"/>
      <c r="F3" s="13" t="inlineStr">
        <is>
          <t>maria.fernanda32@example.com</t>
        </is>
      </c>
      <c r="G3" s="13" t="inlineStr">
        <is>
          <t>Ibague</t>
        </is>
      </c>
      <c r="H3" s="12" t="inlineStr">
        <is>
          <t>Transversal 5 # 12-28</t>
        </is>
      </c>
      <c r="I3" s="18" t="n">
        <v>45552.58345671296</v>
      </c>
      <c r="J3" s="18" t="n">
        <v>45851.67232091471</v>
      </c>
      <c r="K3" s="13" t="inlineStr">
        <is>
          <t>Actualizado</t>
        </is>
      </c>
      <c r="L3" s="13" t="inlineStr">
        <is>
          <t>Asesor comercial</t>
        </is>
      </c>
      <c r="M3" s="12" t="inlineStr">
        <is>
          <t>Datos confirmados</t>
        </is>
      </c>
      <c r="N3" s="12" t="inlineStr">
        <is>
          <t>Fondo de inversion colectiva, Pencion obligatoria, Cesantias</t>
        </is>
      </c>
      <c r="O3" s="19" t="n">
        <v>803</v>
      </c>
    </row>
    <row r="4" ht="31.5" customHeight="1">
      <c r="A4" s="13" t="inlineStr">
        <is>
          <t>C-0002</t>
        </is>
      </c>
      <c r="B4" s="13" t="inlineStr">
        <is>
          <t>NIT</t>
        </is>
      </c>
      <c r="C4" s="13" t="inlineStr">
        <is>
          <t>900000002-0</t>
        </is>
      </c>
      <c r="D4" s="12" t="inlineStr">
        <is>
          <t>Agroindustrias del Norte S.A.S.</t>
        </is>
      </c>
      <c r="E4" s="13" t="inlineStr">
        <is>
          <t>+573945256116</t>
        </is>
      </c>
      <c r="F4" s="13" t="inlineStr">
        <is>
          <t>agroindustrias.del29@empresa.com.co</t>
        </is>
      </c>
      <c r="G4" s="13" t="inlineStr">
        <is>
          <t>Villavicencio</t>
        </is>
      </c>
      <c r="H4" s="12" t="inlineStr">
        <is>
          <t>Transversal 44A # 20-28</t>
        </is>
      </c>
      <c r="I4" s="18" t="n">
        <v>45702.58345671296</v>
      </c>
      <c r="J4" s="18" t="n">
        <v>45830.67232091471</v>
      </c>
      <c r="K4" s="13" t="inlineStr">
        <is>
          <t>Pendiente de actualizar</t>
        </is>
      </c>
      <c r="L4" s="13" t="inlineStr">
        <is>
          <t>Backoffice</t>
        </is>
      </c>
      <c r="M4" s="12" t="inlineStr">
        <is>
          <t>Programado seguimiento telefonico</t>
        </is>
      </c>
      <c r="N4" s="12" t="inlineStr">
        <is>
          <t>Pencion obligatoria</t>
        </is>
      </c>
      <c r="O4" s="19" t="n">
        <v>823</v>
      </c>
    </row>
    <row r="5" ht="28.5" customFormat="1" customHeight="1" s="3">
      <c r="A5" s="20" t="inlineStr">
        <is>
          <t>C-1000</t>
        </is>
      </c>
      <c r="B5" s="20" t="inlineStr">
        <is>
          <t>NIT</t>
        </is>
      </c>
      <c r="C5" s="20" t="inlineStr">
        <is>
          <t>1090000100</t>
        </is>
      </c>
      <c r="D5" s="21" t="inlineStr">
        <is>
          <t>Andres Cruz</t>
        </is>
      </c>
      <c r="E5" s="20" t="n"/>
      <c r="F5" s="20" t="inlineStr">
        <is>
          <t>andres.cruz54@example.com</t>
        </is>
      </c>
      <c r="G5" s="20" t="inlineStr">
        <is>
          <t>Medellin</t>
        </is>
      </c>
      <c r="H5" s="21" t="inlineStr">
        <is>
          <t>Calle 111 #27-4</t>
        </is>
      </c>
      <c r="I5" s="22" t="n">
        <v>45551.58345671296</v>
      </c>
      <c r="J5" s="22" t="n">
        <v>45850.67232091471</v>
      </c>
      <c r="K5" s="23" t="inlineStr">
        <is>
          <t>ACTUALIZADO</t>
        </is>
      </c>
      <c r="L5" s="20" t="inlineStr">
        <is>
          <t>Asesor comercial</t>
        </is>
      </c>
      <c r="M5" s="21" t="n"/>
      <c r="N5" s="21" t="inlineStr">
        <is>
          <t>Pension obligatoria, Fondo de inversion colectiva</t>
        </is>
      </c>
      <c r="O5" s="24" t="n">
        <v>700</v>
      </c>
    </row>
    <row r="6" ht="18.75" customFormat="1" customHeight="1" s="3">
      <c r="A6" s="20" t="inlineStr">
        <is>
          <t>C-1001</t>
        </is>
      </c>
      <c r="B6" s="20" t="inlineStr">
        <is>
          <t>CE</t>
        </is>
      </c>
      <c r="C6" s="20" t="inlineStr">
        <is>
          <t>1090000101</t>
        </is>
      </c>
      <c r="D6" s="21" t="inlineStr">
        <is>
          <t>Mariana Hernandez</t>
        </is>
      </c>
      <c r="E6" s="20" t="inlineStr">
        <is>
          <t>+573552669649</t>
        </is>
      </c>
      <c r="F6" s="20" t="inlineStr">
        <is>
          <t>mariana.hernandez22@example.com</t>
        </is>
      </c>
      <c r="G6" s="20" t="inlineStr">
        <is>
          <t>Popayan</t>
        </is>
      </c>
      <c r="H6" s="21" t="inlineStr">
        <is>
          <t>Calle 92 #18-30</t>
        </is>
      </c>
      <c r="I6" s="22" t="n">
        <v>45567.58345671296</v>
      </c>
      <c r="J6" s="22" t="n">
        <v>45783.67232091471</v>
      </c>
      <c r="K6" s="23" t="inlineStr">
        <is>
          <t>ACTUALIZADO</t>
        </is>
      </c>
      <c r="L6" s="20" t="inlineStr">
        <is>
          <t>Gerente de cuenta</t>
        </is>
      </c>
      <c r="M6" s="21" t="inlineStr">
        <is>
          <t>Contacto telefonico</t>
        </is>
      </c>
      <c r="N6" s="21" t="inlineStr">
        <is>
          <t>Pension voluntaria, Seguro de vida</t>
        </is>
      </c>
      <c r="O6" s="24" t="n">
        <v>820</v>
      </c>
    </row>
    <row r="7" ht="28.5" customFormat="1" customHeight="1" s="3">
      <c r="A7" s="20" t="inlineStr">
        <is>
          <t>C-1002</t>
        </is>
      </c>
      <c r="B7" s="20" t="inlineStr">
        <is>
          <t>CC</t>
        </is>
      </c>
      <c r="C7" s="20" t="inlineStr">
        <is>
          <t>1090000102</t>
        </is>
      </c>
      <c r="D7" s="21" t="inlineStr">
        <is>
          <t>Rosa Ramirez</t>
        </is>
      </c>
      <c r="E7" s="20" t="inlineStr">
        <is>
          <t>+573776988666</t>
        </is>
      </c>
      <c r="F7" s="20" t="inlineStr">
        <is>
          <t>rosa.ramirez30@example.com</t>
        </is>
      </c>
      <c r="G7" s="20" t="inlineStr">
        <is>
          <t>Villavicencio</t>
        </is>
      </c>
      <c r="H7" s="21" t="inlineStr">
        <is>
          <t>Calle 109 #45-53</t>
        </is>
      </c>
      <c r="I7" s="22" t="n">
        <v>45582.58345671296</v>
      </c>
      <c r="J7" s="22" t="n">
        <v>45906.67232091471</v>
      </c>
      <c r="K7" s="23" t="inlineStr">
        <is>
          <t>ACTUALIZADO</t>
        </is>
      </c>
      <c r="L7" s="20" t="inlineStr">
        <is>
          <t>Asesor comercial</t>
        </is>
      </c>
      <c r="M7" s="21" t="inlineStr">
        <is>
          <t>Datos confirmados</t>
        </is>
      </c>
      <c r="N7" s="21" t="inlineStr">
        <is>
          <t>Pension obligatoria, Cesantias, Fondo de inversion colectiva</t>
        </is>
      </c>
      <c r="O7" s="24" t="n">
        <v>585</v>
      </c>
    </row>
    <row r="8" ht="25.5" customFormat="1" customHeight="1" s="3">
      <c r="A8" s="20" t="inlineStr">
        <is>
          <t>C-1003</t>
        </is>
      </c>
      <c r="B8" s="20" t="inlineStr">
        <is>
          <t>PASAPORTE</t>
        </is>
      </c>
      <c r="C8" s="20" t="inlineStr">
        <is>
          <t>1090000103</t>
        </is>
      </c>
      <c r="D8" s="21" t="inlineStr">
        <is>
          <t>Roberto Cruz</t>
        </is>
      </c>
      <c r="E8" s="20" t="inlineStr">
        <is>
          <t>+573883981849</t>
        </is>
      </c>
      <c r="F8" s="20" t="inlineStr">
        <is>
          <t>roberto.cruz8@example.com</t>
        </is>
      </c>
      <c r="G8" s="20" t="inlineStr">
        <is>
          <t>Manizales</t>
        </is>
      </c>
      <c r="H8" s="21" t="inlineStr">
        <is>
          <t>Calle 139 #34-33</t>
        </is>
      </c>
      <c r="I8" s="22" t="n">
        <v>45713.58345671296</v>
      </c>
      <c r="J8" s="22" t="n">
        <v>45862.67232091471</v>
      </c>
      <c r="K8" s="23" t="inlineStr">
        <is>
          <t>ACTUALIZADO</t>
        </is>
      </c>
      <c r="L8" s="20" t="inlineStr">
        <is>
          <t>Backoffice</t>
        </is>
      </c>
      <c r="M8" s="21" t="inlineStr">
        <is>
          <t>Contacto telefonico</t>
        </is>
      </c>
      <c r="N8" s="21" t="inlineStr">
        <is>
          <t>Pension voluntaria</t>
        </is>
      </c>
      <c r="O8" s="24" t="n">
        <v>730</v>
      </c>
    </row>
    <row r="9" ht="25.5" customFormat="1" customHeight="1" s="3">
      <c r="A9" s="20" t="inlineStr">
        <is>
          <t>C-1004</t>
        </is>
      </c>
      <c r="B9" s="20" t="inlineStr">
        <is>
          <t>PASAPORTE</t>
        </is>
      </c>
      <c r="C9" s="20" t="inlineStr">
        <is>
          <t>1090000104</t>
        </is>
      </c>
      <c r="D9" s="21" t="inlineStr">
        <is>
          <t>Diego Vargas</t>
        </is>
      </c>
      <c r="E9" s="20" t="n"/>
      <c r="F9" s="20" t="inlineStr">
        <is>
          <t>diego.vargas7@example.com</t>
        </is>
      </c>
      <c r="G9" s="20" t="inlineStr">
        <is>
          <t>Pasto</t>
        </is>
      </c>
      <c r="H9" s="21" t="inlineStr">
        <is>
          <t>Calle 94 #4-51</t>
        </is>
      </c>
      <c r="I9" s="22" t="n">
        <v>45598.58345671296</v>
      </c>
      <c r="J9" s="22" t="n">
        <v>45777.67232091471</v>
      </c>
      <c r="K9" s="23" t="inlineStr">
        <is>
          <t>ACTUALIZADO</t>
        </is>
      </c>
      <c r="L9" s="20" t="inlineStr">
        <is>
          <t>Asesor comercial</t>
        </is>
      </c>
      <c r="M9" s="21" t="inlineStr">
        <is>
          <t>Datos confirmados</t>
        </is>
      </c>
      <c r="N9" s="21" t="inlineStr">
        <is>
          <t>Cesantias, Pension voluntaria, Seguro de vida</t>
        </is>
      </c>
      <c r="O9" s="24" t="n">
        <v>526</v>
      </c>
    </row>
    <row r="10" ht="25.5" customFormat="1" customHeight="1" s="3">
      <c r="A10" s="20" t="inlineStr">
        <is>
          <t>C-1005</t>
        </is>
      </c>
      <c r="B10" s="20" t="inlineStr">
        <is>
          <t>CC</t>
        </is>
      </c>
      <c r="C10" s="20" t="inlineStr">
        <is>
          <t>1090000105</t>
        </is>
      </c>
      <c r="D10" s="21" t="inlineStr">
        <is>
          <t>Patricia Moreno</t>
        </is>
      </c>
      <c r="E10" s="20" t="inlineStr">
        <is>
          <t>+573803699008</t>
        </is>
      </c>
      <c r="F10" s="20" t="inlineStr">
        <is>
          <t>patricia.moreno70@example.com</t>
        </is>
      </c>
      <c r="G10" s="20" t="inlineStr">
        <is>
          <t>Pereira</t>
        </is>
      </c>
      <c r="H10" s="21" t="inlineStr">
        <is>
          <t>Calle 135 #19-21</t>
        </is>
      </c>
      <c r="I10" s="22" t="n">
        <v>45682.58345671296</v>
      </c>
      <c r="J10" s="22" t="n">
        <v>45828.67232091471</v>
      </c>
      <c r="K10" s="23" t="inlineStr">
        <is>
          <t>ACTUALIZADO</t>
        </is>
      </c>
      <c r="L10" s="20" t="inlineStr">
        <is>
          <t>Backoffice</t>
        </is>
      </c>
      <c r="M10" s="21" t="inlineStr">
        <is>
          <t>Pendiente verificacion</t>
        </is>
      </c>
      <c r="N10" s="21" t="inlineStr">
        <is>
          <t>Cesantias, Seguro de vida</t>
        </is>
      </c>
      <c r="O10" s="24" t="n">
        <v>667</v>
      </c>
    </row>
    <row r="11" ht="18.75" customFormat="1" customHeight="1" s="3">
      <c r="A11" s="20" t="inlineStr">
        <is>
          <t>C-1006</t>
        </is>
      </c>
      <c r="B11" s="20" t="inlineStr">
        <is>
          <t>CE</t>
        </is>
      </c>
      <c r="C11" s="20" t="inlineStr">
        <is>
          <t>1090000106</t>
        </is>
      </c>
      <c r="D11" s="21" t="inlineStr">
        <is>
          <t>Mariana Castillo</t>
        </is>
      </c>
      <c r="E11" s="20" t="inlineStr">
        <is>
          <t>+573580188026</t>
        </is>
      </c>
      <c r="F11" s="20" t="inlineStr">
        <is>
          <t>mariana.castillo33@example.com</t>
        </is>
      </c>
      <c r="G11" s="20" t="inlineStr">
        <is>
          <t>Santa Marta</t>
        </is>
      </c>
      <c r="H11" s="21" t="inlineStr">
        <is>
          <t>Calle 44 #20-60</t>
        </is>
      </c>
      <c r="I11" s="22" t="n">
        <v>45673.58345671296</v>
      </c>
      <c r="J11" s="22" t="n">
        <v>45875.67232091471</v>
      </c>
      <c r="K11" s="23" t="inlineStr">
        <is>
          <t>ACTUALIZADO</t>
        </is>
      </c>
      <c r="L11" s="20" t="inlineStr">
        <is>
          <t>Asesor comercial</t>
        </is>
      </c>
      <c r="M11" s="21" t="inlineStr">
        <is>
          <t>Contacto telefonico</t>
        </is>
      </c>
      <c r="N11" s="21" t="inlineStr">
        <is>
          <t>Cesantias</t>
        </is>
      </c>
      <c r="O11" s="24" t="n">
        <v>506</v>
      </c>
    </row>
    <row r="12" ht="25.5" customFormat="1" customHeight="1" s="3">
      <c r="A12" s="20" t="inlineStr">
        <is>
          <t>C-1007</t>
        </is>
      </c>
      <c r="B12" s="20" t="inlineStr">
        <is>
          <t>CE</t>
        </is>
      </c>
      <c r="C12" s="20" t="inlineStr">
        <is>
          <t>1090000107</t>
        </is>
      </c>
      <c r="D12" s="21" t="inlineStr">
        <is>
          <t>Andres Martinez</t>
        </is>
      </c>
      <c r="E12" s="20" t="n"/>
      <c r="F12" s="20" t="inlineStr">
        <is>
          <t>andres.martinez20@example.com</t>
        </is>
      </c>
      <c r="G12" s="20" t="inlineStr">
        <is>
          <t>Villavicencio</t>
        </is>
      </c>
      <c r="H12" s="21" t="inlineStr">
        <is>
          <t>Calle 122 #36-66</t>
        </is>
      </c>
      <c r="I12" s="22" t="n">
        <v>45843.58345671296</v>
      </c>
      <c r="J12" s="22" t="n">
        <v>45848.67232091471</v>
      </c>
      <c r="K12" s="23" t="inlineStr">
        <is>
          <t>ACTUALIZADO</t>
        </is>
      </c>
      <c r="L12" s="20" t="inlineStr">
        <is>
          <t>Asesor comercial</t>
        </is>
      </c>
      <c r="M12" s="21" t="inlineStr">
        <is>
          <t>Pendiente verificacion</t>
        </is>
      </c>
      <c r="N12" s="21" t="inlineStr">
        <is>
          <t>Fondo de inversion colectiva, Pension obligatoria, Pension voluntaria</t>
        </is>
      </c>
      <c r="O12" s="24" t="n">
        <v>847</v>
      </c>
    </row>
    <row r="13" ht="25.5" customFormat="1" customHeight="1" s="3">
      <c r="A13" s="20" t="inlineStr">
        <is>
          <t>C-1008</t>
        </is>
      </c>
      <c r="B13" s="20" t="inlineStr">
        <is>
          <t>CE</t>
        </is>
      </c>
      <c r="C13" s="20" t="inlineStr">
        <is>
          <t>1090000108</t>
        </is>
      </c>
      <c r="D13" s="21" t="inlineStr">
        <is>
          <t>Fernando Gutierrez</t>
        </is>
      </c>
      <c r="E13" s="20" t="inlineStr">
        <is>
          <t>+573907726288</t>
        </is>
      </c>
      <c r="F13" s="20" t="inlineStr">
        <is>
          <t>fernando.gutierrez57@example.com</t>
        </is>
      </c>
      <c r="G13" s="20" t="inlineStr">
        <is>
          <t>Santa Marta</t>
        </is>
      </c>
      <c r="H13" s="21" t="inlineStr">
        <is>
          <t>Calle 27 #43-13</t>
        </is>
      </c>
      <c r="I13" s="22" t="n">
        <v>45712.58345671296</v>
      </c>
      <c r="J13" s="22" t="n">
        <v>45892.67232091471</v>
      </c>
      <c r="K13" s="23" t="inlineStr">
        <is>
          <t>ACTUALIZADO</t>
        </is>
      </c>
      <c r="L13" s="20" t="inlineStr">
        <is>
          <t>Gerente de cuenta</t>
        </is>
      </c>
      <c r="M13" s="21" t="n"/>
      <c r="N13" s="21" t="inlineStr">
        <is>
          <t>Cesantias, Seguro de vida, Pension voluntaria</t>
        </is>
      </c>
      <c r="O13" s="24" t="n">
        <v>697</v>
      </c>
    </row>
    <row r="14" ht="25.5" customFormat="1" customHeight="1" s="3">
      <c r="A14" s="20" t="inlineStr">
        <is>
          <t>C-1009</t>
        </is>
      </c>
      <c r="B14" s="20" t="inlineStr">
        <is>
          <t>CE</t>
        </is>
      </c>
      <c r="C14" s="20" t="inlineStr">
        <is>
          <t>1090000109</t>
        </is>
      </c>
      <c r="D14" s="21" t="inlineStr">
        <is>
          <t>Maria Vargas</t>
        </is>
      </c>
      <c r="E14" s="20" t="n"/>
      <c r="F14" s="20" t="inlineStr">
        <is>
          <t>maria.vargas65@example.com</t>
        </is>
      </c>
      <c r="G14" s="20" t="inlineStr">
        <is>
          <t>Cucuta</t>
        </is>
      </c>
      <c r="H14" s="21" t="inlineStr">
        <is>
          <t>Calle 47 #11-16</t>
        </is>
      </c>
      <c r="I14" s="22" t="n">
        <v>45608.58345671296</v>
      </c>
      <c r="J14" s="22" t="n">
        <v>45872.67232091471</v>
      </c>
      <c r="K14" s="23" t="inlineStr">
        <is>
          <t>ACTUALIZADO</t>
        </is>
      </c>
      <c r="L14" s="20" t="inlineStr">
        <is>
          <t>Gerente de cuenta</t>
        </is>
      </c>
      <c r="M14" s="21" t="inlineStr">
        <is>
          <t>Contacto telefonico</t>
        </is>
      </c>
      <c r="N14" s="21" t="inlineStr">
        <is>
          <t>Fondo de inversion colectiva, Seguro de vida</t>
        </is>
      </c>
      <c r="O14" s="24" t="n">
        <v>761</v>
      </c>
    </row>
    <row r="15" ht="25.5" customFormat="1" customHeight="1" s="3">
      <c r="A15" s="20" t="inlineStr">
        <is>
          <t>C-1010</t>
        </is>
      </c>
      <c r="B15" s="20" t="inlineStr">
        <is>
          <t>CE</t>
        </is>
      </c>
      <c r="C15" s="20" t="inlineStr">
        <is>
          <t>1090000110</t>
        </is>
      </c>
      <c r="D15" s="21" t="inlineStr">
        <is>
          <t>Silvia Torres</t>
        </is>
      </c>
      <c r="E15" s="20" t="inlineStr">
        <is>
          <t>+573374436324</t>
        </is>
      </c>
      <c r="F15" s="20" t="inlineStr">
        <is>
          <t>silvia.torres33@example.com</t>
        </is>
      </c>
      <c r="G15" s="20" t="inlineStr">
        <is>
          <t>Bogota</t>
        </is>
      </c>
      <c r="H15" s="21" t="inlineStr">
        <is>
          <t>Calle 40 #38-74</t>
        </is>
      </c>
      <c r="I15" s="22" t="n">
        <v>45899.58345671296</v>
      </c>
      <c r="J15" s="22" t="n">
        <v>45836.67232091471</v>
      </c>
      <c r="K15" s="23" t="inlineStr">
        <is>
          <t>ACTUALIZADO</t>
        </is>
      </c>
      <c r="L15" s="20" t="inlineStr">
        <is>
          <t>Backoffice</t>
        </is>
      </c>
      <c r="M15" s="21" t="inlineStr">
        <is>
          <t>Datos confirmados</t>
        </is>
      </c>
      <c r="N15" s="21" t="inlineStr">
        <is>
          <t>Cesantias, Pension obligatoria, Seguro de vida</t>
        </is>
      </c>
      <c r="O15" s="24" t="n">
        <v>673</v>
      </c>
    </row>
    <row r="16" ht="25.5" customFormat="1" customHeight="1" s="3">
      <c r="A16" s="20" t="inlineStr">
        <is>
          <t>C-1011</t>
        </is>
      </c>
      <c r="B16" s="20" t="inlineStr">
        <is>
          <t>CC</t>
        </is>
      </c>
      <c r="C16" s="20" t="inlineStr">
        <is>
          <t>1090000111</t>
        </is>
      </c>
      <c r="D16" s="21" t="inlineStr">
        <is>
          <t>Silvia Gutierrez</t>
        </is>
      </c>
      <c r="E16" s="20" t="n"/>
      <c r="F16" s="20" t="inlineStr">
        <is>
          <t>silvia.gutierrez76@example.com</t>
        </is>
      </c>
      <c r="G16" s="20" t="inlineStr">
        <is>
          <t>Pasto</t>
        </is>
      </c>
      <c r="H16" s="21" t="inlineStr">
        <is>
          <t>Calle 96 #9-4</t>
        </is>
      </c>
      <c r="I16" s="22" t="n">
        <v>45865.58345671296</v>
      </c>
      <c r="J16" s="22" t="n">
        <v>46263.67232091471</v>
      </c>
      <c r="K16" s="23" t="inlineStr">
        <is>
          <t>ACTUALIZADO</t>
        </is>
      </c>
      <c r="L16" s="20" t="inlineStr">
        <is>
          <t>Backoffice</t>
        </is>
      </c>
      <c r="M16" s="21" t="inlineStr">
        <is>
          <t>Datos confirmados</t>
        </is>
      </c>
      <c r="N16" s="21" t="inlineStr">
        <is>
          <t>Cesantias, Seguro de vida</t>
        </is>
      </c>
      <c r="O16" s="24" t="n">
        <v>561</v>
      </c>
    </row>
    <row r="17" ht="25.5" customFormat="1" customHeight="1" s="3">
      <c r="A17" s="20" t="inlineStr">
        <is>
          <t>C-1012</t>
        </is>
      </c>
      <c r="B17" s="20" t="inlineStr">
        <is>
          <t>NIT</t>
        </is>
      </c>
      <c r="C17" s="20" t="inlineStr">
        <is>
          <t>1090000112</t>
        </is>
      </c>
      <c r="D17" s="21" t="inlineStr">
        <is>
          <t>Diego Sanchez</t>
        </is>
      </c>
      <c r="E17" s="20" t="inlineStr">
        <is>
          <t>+573280686300</t>
        </is>
      </c>
      <c r="F17" s="20" t="inlineStr">
        <is>
          <t>diego.sanchez74@example.com</t>
        </is>
      </c>
      <c r="G17" s="20" t="inlineStr">
        <is>
          <t>Ibague</t>
        </is>
      </c>
      <c r="H17" s="21" t="inlineStr">
        <is>
          <t>Calle 13 #1-39</t>
        </is>
      </c>
      <c r="I17" s="22" t="n">
        <v>45832.58345671296</v>
      </c>
      <c r="J17" s="22" t="n">
        <v>46274.67232091471</v>
      </c>
      <c r="K17" s="23" t="inlineStr">
        <is>
          <t>ACTUALIZADO</t>
        </is>
      </c>
      <c r="L17" s="20" t="inlineStr">
        <is>
          <t>Asesor comercial</t>
        </is>
      </c>
      <c r="M17" s="21" t="inlineStr">
        <is>
          <t>Pendiente verificacion</t>
        </is>
      </c>
      <c r="N17" s="21" t="inlineStr">
        <is>
          <t>Seguro de vida, Fondo de inversion colectiva, Cesantias</t>
        </is>
      </c>
      <c r="O17" s="24" t="n">
        <v>821</v>
      </c>
    </row>
    <row r="18" ht="18.75" customFormat="1" customHeight="1" s="3">
      <c r="A18" s="20" t="inlineStr">
        <is>
          <t>C-1013</t>
        </is>
      </c>
      <c r="B18" s="20" t="inlineStr">
        <is>
          <t>NIT</t>
        </is>
      </c>
      <c r="C18" s="20" t="inlineStr">
        <is>
          <t>1090000113</t>
        </is>
      </c>
      <c r="D18" s="21" t="inlineStr">
        <is>
          <t>Patricia Vargas</t>
        </is>
      </c>
      <c r="E18" s="20" t="n"/>
      <c r="F18" s="20" t="inlineStr">
        <is>
          <t>patricia.vargas98@example.com</t>
        </is>
      </c>
      <c r="G18" s="20" t="inlineStr">
        <is>
          <t>Pereira</t>
        </is>
      </c>
      <c r="H18" s="21" t="inlineStr">
        <is>
          <t>Calle 119 #6-21</t>
        </is>
      </c>
      <c r="I18" s="22" t="n">
        <v>45823.58345671296</v>
      </c>
      <c r="J18" s="22" t="n">
        <v>46268.67232091471</v>
      </c>
      <c r="K18" s="23" t="inlineStr">
        <is>
          <t>ACTUALIZADO</t>
        </is>
      </c>
      <c r="L18" s="20" t="inlineStr">
        <is>
          <t>Asesor comercial</t>
        </is>
      </c>
      <c r="M18" s="21" t="n"/>
      <c r="N18" s="21" t="inlineStr">
        <is>
          <t>Pension voluntaria, Seguro de vida, Cesantias</t>
        </is>
      </c>
      <c r="O18" s="24" t="n">
        <v>543</v>
      </c>
    </row>
    <row r="19" ht="25.5" customFormat="1" customHeight="1" s="3">
      <c r="A19" s="20" t="inlineStr">
        <is>
          <t>C-1014</t>
        </is>
      </c>
      <c r="B19" s="20" t="inlineStr">
        <is>
          <t>CE</t>
        </is>
      </c>
      <c r="C19" s="20" t="inlineStr">
        <is>
          <t>1090000114</t>
        </is>
      </c>
      <c r="D19" s="21" t="inlineStr">
        <is>
          <t>Carlos Rodriguez</t>
        </is>
      </c>
      <c r="E19" s="20" t="n"/>
      <c r="F19" s="20" t="inlineStr">
        <is>
          <t>carlos.rodriguez54@example.com</t>
        </is>
      </c>
      <c r="G19" s="20" t="inlineStr">
        <is>
          <t>Bucaramanga</t>
        </is>
      </c>
      <c r="H19" s="21" t="inlineStr">
        <is>
          <t>Calle 31 #46-13</t>
        </is>
      </c>
      <c r="I19" s="22" t="n">
        <v>45594.58345671296</v>
      </c>
      <c r="J19" s="22" t="n">
        <v>46269.67232091471</v>
      </c>
      <c r="K19" s="23" t="inlineStr">
        <is>
          <t>ACTUALIZADO</t>
        </is>
      </c>
      <c r="L19" s="20" t="inlineStr">
        <is>
          <t>Asesor comercial</t>
        </is>
      </c>
      <c r="M19" s="21" t="inlineStr">
        <is>
          <t>Pendiente verificacion</t>
        </is>
      </c>
      <c r="N19" s="21" t="inlineStr">
        <is>
          <t>Pension obligatoria, Cesantias, Pension voluntaria</t>
        </is>
      </c>
      <c r="O19" s="24" t="n">
        <v>751</v>
      </c>
    </row>
    <row r="20" ht="25.5" customFormat="1" customHeight="1" s="3">
      <c r="A20" s="20" t="inlineStr">
        <is>
          <t>C-1015</t>
        </is>
      </c>
      <c r="B20" s="20" t="inlineStr">
        <is>
          <t>CC</t>
        </is>
      </c>
      <c r="C20" s="20" t="inlineStr">
        <is>
          <t>1090000115</t>
        </is>
      </c>
      <c r="D20" s="21" t="inlineStr">
        <is>
          <t>Fernando Lopez</t>
        </is>
      </c>
      <c r="E20" s="20" t="n"/>
      <c r="F20" s="20" t="inlineStr">
        <is>
          <t>fernando.lopez84@example.com</t>
        </is>
      </c>
      <c r="G20" s="20" t="inlineStr">
        <is>
          <t>Medellin</t>
        </is>
      </c>
      <c r="H20" s="21" t="inlineStr">
        <is>
          <t>Calle 97 #38-73</t>
        </is>
      </c>
      <c r="I20" s="22" t="n">
        <v>45770.58345671296</v>
      </c>
      <c r="J20" s="22" t="n">
        <v>46267.67232091471</v>
      </c>
      <c r="K20" s="23" t="inlineStr">
        <is>
          <t>ACTUALIZADO</t>
        </is>
      </c>
      <c r="L20" s="20" t="inlineStr">
        <is>
          <t>Asesor comercial</t>
        </is>
      </c>
      <c r="M20" s="21" t="inlineStr">
        <is>
          <t>Pendiente verificacion</t>
        </is>
      </c>
      <c r="N20" s="21" t="inlineStr">
        <is>
          <t>Cesantias</t>
        </is>
      </c>
      <c r="O20" s="24" t="n">
        <v>762</v>
      </c>
    </row>
    <row r="21" ht="25.5" customFormat="1" customHeight="1" s="3">
      <c r="A21" s="20" t="inlineStr">
        <is>
          <t>C-1016</t>
        </is>
      </c>
      <c r="B21" s="20" t="inlineStr">
        <is>
          <t>CC</t>
        </is>
      </c>
      <c r="C21" s="20" t="inlineStr">
        <is>
          <t>1090000116</t>
        </is>
      </c>
      <c r="D21" s="21" t="inlineStr">
        <is>
          <t>Silvia Torres</t>
        </is>
      </c>
      <c r="E21" s="20" t="n"/>
      <c r="F21" s="20" t="inlineStr">
        <is>
          <t>silvia.torres41@example.com</t>
        </is>
      </c>
      <c r="G21" s="20" t="inlineStr">
        <is>
          <t>Cartagena</t>
        </is>
      </c>
      <c r="H21" s="21" t="inlineStr">
        <is>
          <t>Calle 43 #37-56</t>
        </is>
      </c>
      <c r="I21" s="22" t="n">
        <v>45577.58345671296</v>
      </c>
      <c r="J21" s="22" t="n">
        <v>46261.67232091471</v>
      </c>
      <c r="K21" s="23" t="inlineStr">
        <is>
          <t>ACTUALIZADO</t>
        </is>
      </c>
      <c r="L21" s="20" t="inlineStr">
        <is>
          <t>Backoffice</t>
        </is>
      </c>
      <c r="M21" s="21" t="inlineStr">
        <is>
          <t>Contacto telefonico</t>
        </is>
      </c>
      <c r="N21" s="21" t="inlineStr">
        <is>
          <t>Pension obligatoria</t>
        </is>
      </c>
      <c r="O21" s="24" t="n">
        <v>652</v>
      </c>
    </row>
    <row r="22" ht="25.5" customFormat="1" customHeight="1" s="3">
      <c r="A22" s="20" t="inlineStr">
        <is>
          <t>C-1017</t>
        </is>
      </c>
      <c r="B22" s="20" t="inlineStr">
        <is>
          <t>CC</t>
        </is>
      </c>
      <c r="C22" s="20" t="inlineStr">
        <is>
          <t>1090000117</t>
        </is>
      </c>
      <c r="D22" s="21" t="inlineStr">
        <is>
          <t>Silvia Torres</t>
        </is>
      </c>
      <c r="E22" s="20" t="inlineStr">
        <is>
          <t>+573136815739</t>
        </is>
      </c>
      <c r="F22" s="20" t="inlineStr">
        <is>
          <t>silvia.torres25@example.com</t>
        </is>
      </c>
      <c r="G22" s="20" t="inlineStr">
        <is>
          <t>Popayan</t>
        </is>
      </c>
      <c r="H22" s="21" t="inlineStr">
        <is>
          <t>Calle 113 #27-13</t>
        </is>
      </c>
      <c r="I22" s="22" t="n">
        <v>45873.58345671296</v>
      </c>
      <c r="J22" s="22" t="n">
        <v>46265.67232091471</v>
      </c>
      <c r="K22" s="23" t="inlineStr">
        <is>
          <t>ACTUALIZADO</t>
        </is>
      </c>
      <c r="L22" s="20" t="inlineStr">
        <is>
          <t>Asesor comercial</t>
        </is>
      </c>
      <c r="M22" s="21" t="inlineStr">
        <is>
          <t>Datos confirmados</t>
        </is>
      </c>
      <c r="N22" s="21" t="inlineStr">
        <is>
          <t>Cesantias</t>
        </is>
      </c>
      <c r="O22" s="24" t="n">
        <v>611</v>
      </c>
    </row>
    <row r="23" ht="25.5" customFormat="1" customHeight="1" s="3">
      <c r="A23" s="20" t="inlineStr">
        <is>
          <t>C-1018</t>
        </is>
      </c>
      <c r="B23" s="20" t="inlineStr">
        <is>
          <t>CE</t>
        </is>
      </c>
      <c r="C23" s="20" t="inlineStr">
        <is>
          <t>1090000118</t>
        </is>
      </c>
      <c r="D23" s="21" t="inlineStr">
        <is>
          <t>Fernando Rodriguez</t>
        </is>
      </c>
      <c r="E23" s="20" t="inlineStr">
        <is>
          <t>+573943969877</t>
        </is>
      </c>
      <c r="F23" s="20" t="inlineStr">
        <is>
          <t>fernando.rodriguez9@example.com</t>
        </is>
      </c>
      <c r="G23" s="20" t="inlineStr">
        <is>
          <t>Pereira</t>
        </is>
      </c>
      <c r="H23" s="21" t="inlineStr">
        <is>
          <t>Calle 85 #35-67</t>
        </is>
      </c>
      <c r="I23" s="22" t="n">
        <v>45777.58345671296</v>
      </c>
      <c r="J23" s="22" t="n">
        <v>46253.67232091471</v>
      </c>
      <c r="K23" s="23" t="inlineStr">
        <is>
          <t>ACTUALIZADO</t>
        </is>
      </c>
      <c r="L23" s="20" t="inlineStr">
        <is>
          <t>Asesor comercial</t>
        </is>
      </c>
      <c r="M23" s="21" t="inlineStr">
        <is>
          <t>Contacto telefonico</t>
        </is>
      </c>
      <c r="N23" s="21" t="inlineStr">
        <is>
          <t>Pension voluntaria, Seguro de vida</t>
        </is>
      </c>
      <c r="O23" s="24" t="n">
        <v>647</v>
      </c>
    </row>
    <row r="24" ht="25.5" customFormat="1" customHeight="1" s="3">
      <c r="A24" s="20" t="inlineStr">
        <is>
          <t>C-1019</t>
        </is>
      </c>
      <c r="B24" s="20" t="inlineStr">
        <is>
          <t>CE</t>
        </is>
      </c>
      <c r="C24" s="20" t="inlineStr">
        <is>
          <t>1090000119</t>
        </is>
      </c>
      <c r="D24" s="21" t="inlineStr">
        <is>
          <t>Juan Castillo</t>
        </is>
      </c>
      <c r="E24" s="20" t="inlineStr">
        <is>
          <t>+573942712377</t>
        </is>
      </c>
      <c r="F24" s="20" t="inlineStr">
        <is>
          <t>juan.castillo11@example.com</t>
        </is>
      </c>
      <c r="G24" s="20" t="inlineStr">
        <is>
          <t>Bogota</t>
        </is>
      </c>
      <c r="H24" s="21" t="inlineStr">
        <is>
          <t>Calle 106 #16-81</t>
        </is>
      </c>
      <c r="I24" s="22" t="n">
        <v>45615.58345671296</v>
      </c>
      <c r="J24" s="22" t="n">
        <v>46263.67232091471</v>
      </c>
      <c r="K24" s="23" t="inlineStr">
        <is>
          <t>ACTUALIZADO</t>
        </is>
      </c>
      <c r="L24" s="20" t="inlineStr">
        <is>
          <t>Backoffice</t>
        </is>
      </c>
      <c r="M24" s="21" t="inlineStr">
        <is>
          <t>Datos confirmados</t>
        </is>
      </c>
      <c r="N24" s="21" t="inlineStr">
        <is>
          <t>Fondo de inversion colectiva, Pension obligatoria</t>
        </is>
      </c>
      <c r="O24" s="24" t="n">
        <v>469</v>
      </c>
    </row>
    <row r="25" ht="25.5" customFormat="1" customHeight="1" s="3">
      <c r="A25" s="20" t="inlineStr">
        <is>
          <t>C-1020</t>
        </is>
      </c>
      <c r="B25" s="20" t="inlineStr">
        <is>
          <t>NIT</t>
        </is>
      </c>
      <c r="C25" s="20" t="inlineStr">
        <is>
          <t>1090000120</t>
        </is>
      </c>
      <c r="D25" s="21" t="inlineStr">
        <is>
          <t>Diego Sanchez</t>
        </is>
      </c>
      <c r="E25" s="20" t="n"/>
      <c r="F25" s="20" t="inlineStr">
        <is>
          <t>diego.sanchez51@example.com</t>
        </is>
      </c>
      <c r="G25" s="20" t="inlineStr">
        <is>
          <t>Medellin</t>
        </is>
      </c>
      <c r="H25" s="21" t="inlineStr">
        <is>
          <t>Calle 140 #32-93</t>
        </is>
      </c>
      <c r="I25" s="22" t="n">
        <v>45717.58345671296</v>
      </c>
      <c r="J25" s="22" t="n">
        <v>46264.67232091471</v>
      </c>
      <c r="K25" s="23" t="inlineStr">
        <is>
          <t>ACTUALIZADO</t>
        </is>
      </c>
      <c r="L25" s="20" t="inlineStr">
        <is>
          <t>Backoffice</t>
        </is>
      </c>
      <c r="M25" s="21" t="inlineStr">
        <is>
          <t>Datos confirmados</t>
        </is>
      </c>
      <c r="N25" s="21" t="inlineStr">
        <is>
          <t>Fondo de inversion colectiva</t>
        </is>
      </c>
      <c r="O25" s="24" t="n">
        <v>494</v>
      </c>
    </row>
    <row r="26" ht="18.75" customFormat="1" customHeight="1" s="3">
      <c r="A26" s="20" t="inlineStr">
        <is>
          <t>C-1021</t>
        </is>
      </c>
      <c r="B26" s="20" t="inlineStr">
        <is>
          <t>CE</t>
        </is>
      </c>
      <c r="C26" s="20" t="inlineStr">
        <is>
          <t>1090000121</t>
        </is>
      </c>
      <c r="D26" s="21" t="inlineStr">
        <is>
          <t>Roberto Dominguez</t>
        </is>
      </c>
      <c r="E26" s="20" t="n"/>
      <c r="F26" s="20" t="inlineStr">
        <is>
          <t>roberto.dominguez18@example.com</t>
        </is>
      </c>
      <c r="G26" s="20" t="inlineStr">
        <is>
          <t>Armenia</t>
        </is>
      </c>
      <c r="H26" s="21" t="inlineStr">
        <is>
          <t>Calle 18 #5-72</t>
        </is>
      </c>
      <c r="I26" s="22" t="n">
        <v>45659.58345671296</v>
      </c>
      <c r="J26" s="22" t="n">
        <v>46254.67232091471</v>
      </c>
      <c r="K26" s="23" t="inlineStr">
        <is>
          <t>ACTUALIZADO</t>
        </is>
      </c>
      <c r="L26" s="20" t="inlineStr">
        <is>
          <t>Backoffice</t>
        </is>
      </c>
      <c r="M26" s="21" t="n"/>
      <c r="N26" s="21" t="inlineStr">
        <is>
          <t>Cesantias, Pension obligatoria, Fondo de inversion colectiva</t>
        </is>
      </c>
      <c r="O26" s="24" t="n">
        <v>638</v>
      </c>
    </row>
    <row r="27" ht="25.5" customFormat="1" customHeight="1" s="3">
      <c r="A27" s="20" t="inlineStr">
        <is>
          <t>C-1022</t>
        </is>
      </c>
      <c r="B27" s="20" t="inlineStr">
        <is>
          <t>CE</t>
        </is>
      </c>
      <c r="C27" s="20" t="inlineStr">
        <is>
          <t>1090000122</t>
        </is>
      </c>
      <c r="D27" s="21" t="inlineStr">
        <is>
          <t>Andres Hernandez</t>
        </is>
      </c>
      <c r="E27" s="20" t="inlineStr">
        <is>
          <t>+573152611501</t>
        </is>
      </c>
      <c r="F27" s="20" t="inlineStr">
        <is>
          <t>andres.hernandez79@example.com</t>
        </is>
      </c>
      <c r="G27" s="20" t="inlineStr">
        <is>
          <t>Medellin</t>
        </is>
      </c>
      <c r="H27" s="21" t="inlineStr">
        <is>
          <t>Calle 55 #3-45</t>
        </is>
      </c>
      <c r="I27" s="22" t="n">
        <v>45713.58345671296</v>
      </c>
      <c r="J27" s="22" t="n">
        <v>46269.67232091471</v>
      </c>
      <c r="K27" s="23" t="inlineStr">
        <is>
          <t>ACTUALIZADO</t>
        </is>
      </c>
      <c r="L27" s="20" t="inlineStr">
        <is>
          <t>Backoffice</t>
        </is>
      </c>
      <c r="M27" s="21" t="n"/>
      <c r="N27" s="21" t="inlineStr">
        <is>
          <t>Cesantias</t>
        </is>
      </c>
      <c r="O27" s="24" t="n">
        <v>849</v>
      </c>
    </row>
    <row r="28" ht="25.5" customFormat="1" customHeight="1" s="3">
      <c r="A28" s="20" t="inlineStr">
        <is>
          <t>C-1023</t>
        </is>
      </c>
      <c r="B28" s="20" t="inlineStr">
        <is>
          <t>CE</t>
        </is>
      </c>
      <c r="C28" s="20" t="inlineStr">
        <is>
          <t>1090000123</t>
        </is>
      </c>
      <c r="D28" s="21" t="inlineStr">
        <is>
          <t>Fernando Lopez</t>
        </is>
      </c>
      <c r="E28" s="20" t="n"/>
      <c r="F28" s="20" t="inlineStr">
        <is>
          <t>fernando.lopez77@example.com</t>
        </is>
      </c>
      <c r="G28" s="20" t="inlineStr">
        <is>
          <t>Santa Marta</t>
        </is>
      </c>
      <c r="H28" s="21" t="inlineStr">
        <is>
          <t>Calle 102 #37-93</t>
        </is>
      </c>
      <c r="I28" s="22" t="n">
        <v>45608.58345671296</v>
      </c>
      <c r="J28" s="22" t="n">
        <v>46248.67232091471</v>
      </c>
      <c r="K28" s="23" t="inlineStr">
        <is>
          <t>ACTUALIZADO</t>
        </is>
      </c>
      <c r="L28" s="20" t="inlineStr">
        <is>
          <t>Asesor comercial</t>
        </is>
      </c>
      <c r="M28" s="21" t="inlineStr">
        <is>
          <t>Datos confirmados</t>
        </is>
      </c>
      <c r="N28" s="21" t="inlineStr">
        <is>
          <t>Fondo de inversion colectiva, Cesantias</t>
        </is>
      </c>
      <c r="O28" s="24" t="n">
        <v>843</v>
      </c>
    </row>
    <row r="29" ht="18.75" customFormat="1" customHeight="1" s="3">
      <c r="A29" s="20" t="inlineStr">
        <is>
          <t>C-1024</t>
        </is>
      </c>
      <c r="B29" s="20" t="inlineStr">
        <is>
          <t>PASAPORTE</t>
        </is>
      </c>
      <c r="C29" s="20" t="inlineStr">
        <is>
          <t>1090000124</t>
        </is>
      </c>
      <c r="D29" s="21" t="inlineStr">
        <is>
          <t>Silvia Gutierrez</t>
        </is>
      </c>
      <c r="E29" s="20" t="inlineStr">
        <is>
          <t>+573970443844</t>
        </is>
      </c>
      <c r="F29" s="20" t="inlineStr">
        <is>
          <t>silvia.gutierrez40@example.com</t>
        </is>
      </c>
      <c r="G29" s="20" t="inlineStr">
        <is>
          <t>Cali</t>
        </is>
      </c>
      <c r="H29" s="21" t="inlineStr">
        <is>
          <t>Calle 98 #35-69</t>
        </is>
      </c>
      <c r="I29" s="22" t="n">
        <v>45591.58345671296</v>
      </c>
      <c r="J29" s="22" t="n">
        <v>46267.67232091471</v>
      </c>
      <c r="K29" s="23" t="inlineStr">
        <is>
          <t>ACTUALIZADO</t>
        </is>
      </c>
      <c r="L29" s="20" t="inlineStr">
        <is>
          <t>Gerente de cuenta</t>
        </is>
      </c>
      <c r="M29" s="21" t="inlineStr">
        <is>
          <t>Datos confirmados</t>
        </is>
      </c>
      <c r="N29" s="21" t="inlineStr">
        <is>
          <t>Pension obligatoria</t>
        </is>
      </c>
      <c r="O29" s="24" t="n">
        <v>629</v>
      </c>
    </row>
    <row r="30" ht="18.75" customFormat="1" customHeight="1" s="3">
      <c r="A30" s="20" t="inlineStr">
        <is>
          <t>C-1025</t>
        </is>
      </c>
      <c r="B30" s="20" t="inlineStr">
        <is>
          <t>NIT</t>
        </is>
      </c>
      <c r="C30" s="20" t="inlineStr">
        <is>
          <t>1090000125</t>
        </is>
      </c>
      <c r="D30" s="21" t="inlineStr">
        <is>
          <t>Ana Vargas</t>
        </is>
      </c>
      <c r="E30" s="20" t="n"/>
      <c r="F30" s="20" t="inlineStr">
        <is>
          <t>ana.vargas93@example.com</t>
        </is>
      </c>
      <c r="G30" s="20" t="inlineStr">
        <is>
          <t>Villavicencio</t>
        </is>
      </c>
      <c r="H30" s="21" t="inlineStr">
        <is>
          <t>Calle 122 #24-17</t>
        </is>
      </c>
      <c r="I30" s="22" t="n">
        <v>45550.58345671296</v>
      </c>
      <c r="J30" s="22" t="n">
        <v>46255.67232091471</v>
      </c>
      <c r="K30" s="23" t="inlineStr">
        <is>
          <t>ACTUALIZADO</t>
        </is>
      </c>
      <c r="L30" s="20" t="inlineStr">
        <is>
          <t>Backoffice</t>
        </is>
      </c>
      <c r="M30" s="21" t="inlineStr">
        <is>
          <t>Contacto telefonico</t>
        </is>
      </c>
      <c r="N30" s="21" t="inlineStr">
        <is>
          <t>Pension obligatoria, Fondo de inversion colectiva</t>
        </is>
      </c>
      <c r="O30" s="24" t="n">
        <v>599</v>
      </c>
    </row>
    <row r="31" ht="25.5" customFormat="1" customHeight="1" s="3">
      <c r="A31" s="20" t="inlineStr">
        <is>
          <t>C-1026</t>
        </is>
      </c>
      <c r="B31" s="20" t="inlineStr">
        <is>
          <t>CE</t>
        </is>
      </c>
      <c r="C31" s="20" t="inlineStr">
        <is>
          <t>1090000126</t>
        </is>
      </c>
      <c r="D31" s="21" t="inlineStr">
        <is>
          <t>Sandra Ramirez</t>
        </is>
      </c>
      <c r="E31" s="20" t="n"/>
      <c r="F31" s="20" t="inlineStr">
        <is>
          <t>sandra.ramirez42@example.com</t>
        </is>
      </c>
      <c r="G31" s="20" t="inlineStr">
        <is>
          <t>Pasto</t>
        </is>
      </c>
      <c r="H31" s="21" t="inlineStr">
        <is>
          <t>Calle 79 #10-72</t>
        </is>
      </c>
      <c r="I31" s="22" t="n">
        <v>45888.58345671296</v>
      </c>
      <c r="J31" s="22" t="n">
        <v>46255.67232091471</v>
      </c>
      <c r="K31" s="23" t="inlineStr">
        <is>
          <t>ACTUALIZADO</t>
        </is>
      </c>
      <c r="L31" s="20" t="inlineStr">
        <is>
          <t>Backoffice</t>
        </is>
      </c>
      <c r="M31" s="21" t="n"/>
      <c r="N31" s="21" t="inlineStr">
        <is>
          <t>Pension voluntaria, Cesantias</t>
        </is>
      </c>
      <c r="O31" s="24" t="n">
        <v>753</v>
      </c>
    </row>
    <row r="32" ht="18.75" customFormat="1" customHeight="1" s="3">
      <c r="A32" s="20" t="inlineStr">
        <is>
          <t>C-1027</t>
        </is>
      </c>
      <c r="B32" s="20" t="inlineStr">
        <is>
          <t>NIT</t>
        </is>
      </c>
      <c r="C32" s="20" t="inlineStr">
        <is>
          <t>1090000127</t>
        </is>
      </c>
      <c r="D32" s="21" t="inlineStr">
        <is>
          <t>Miguel Cruz</t>
        </is>
      </c>
      <c r="E32" s="20" t="n"/>
      <c r="F32" s="20" t="inlineStr">
        <is>
          <t>miguel.cruz68@example.com</t>
        </is>
      </c>
      <c r="G32" s="20" t="inlineStr">
        <is>
          <t>Armenia</t>
        </is>
      </c>
      <c r="H32" s="21" t="inlineStr">
        <is>
          <t>Calle 80 #15-15</t>
        </is>
      </c>
      <c r="I32" s="22" t="n">
        <v>45607.58345671296</v>
      </c>
      <c r="J32" s="22" t="n">
        <v>46263.67232091471</v>
      </c>
      <c r="K32" s="23" t="inlineStr">
        <is>
          <t>ACTUALIZADO</t>
        </is>
      </c>
      <c r="L32" s="20" t="inlineStr">
        <is>
          <t>Gerente de cuenta</t>
        </is>
      </c>
      <c r="M32" s="21" t="n"/>
      <c r="N32" s="21" t="inlineStr">
        <is>
          <t>Cesantias</t>
        </is>
      </c>
      <c r="O32" s="24" t="n">
        <v>846</v>
      </c>
    </row>
    <row r="33" ht="25.5" customFormat="1" customHeight="1" s="3">
      <c r="A33" s="20" t="inlineStr">
        <is>
          <t>C-1028</t>
        </is>
      </c>
      <c r="B33" s="20" t="inlineStr">
        <is>
          <t>NIT</t>
        </is>
      </c>
      <c r="C33" s="20" t="inlineStr">
        <is>
          <t>1090000128</t>
        </is>
      </c>
      <c r="D33" s="21" t="inlineStr">
        <is>
          <t>Juan Rodriguez</t>
        </is>
      </c>
      <c r="E33" s="20" t="n"/>
      <c r="F33" s="20" t="inlineStr">
        <is>
          <t>juan.rodriguez62@example.com</t>
        </is>
      </c>
      <c r="G33" s="20" t="inlineStr">
        <is>
          <t>Armenia</t>
        </is>
      </c>
      <c r="H33" s="21" t="inlineStr">
        <is>
          <t>Calle 111 #43-95</t>
        </is>
      </c>
      <c r="I33" s="22" t="n">
        <v>45719.58345671296</v>
      </c>
      <c r="J33" s="22" t="n">
        <v>46275.67232091471</v>
      </c>
      <c r="K33" s="23" t="inlineStr">
        <is>
          <t>ACTUALIZADO</t>
        </is>
      </c>
      <c r="L33" s="20" t="inlineStr">
        <is>
          <t>Gerente de cuenta</t>
        </is>
      </c>
      <c r="M33" s="21" t="inlineStr">
        <is>
          <t>Datos confirmados</t>
        </is>
      </c>
      <c r="N33" s="21" t="inlineStr">
        <is>
          <t>Fondo de inversion colectiva, Seguro de vida, Pension voluntaria</t>
        </is>
      </c>
      <c r="O33" s="24" t="n">
        <v>830</v>
      </c>
    </row>
    <row r="34" ht="25.5" customFormat="1" customHeight="1" s="3">
      <c r="A34" s="20" t="inlineStr">
        <is>
          <t>C-1029</t>
        </is>
      </c>
      <c r="B34" s="20" t="inlineStr">
        <is>
          <t>NIT</t>
        </is>
      </c>
      <c r="C34" s="20" t="inlineStr">
        <is>
          <t>1090000129</t>
        </is>
      </c>
      <c r="D34" s="21" t="inlineStr">
        <is>
          <t>Fernando Dominguez</t>
        </is>
      </c>
      <c r="E34" s="20" t="inlineStr">
        <is>
          <t>+573703684212</t>
        </is>
      </c>
      <c r="F34" s="20" t="inlineStr">
        <is>
          <t>fernando.dominguez3@example.com</t>
        </is>
      </c>
      <c r="G34" s="20" t="inlineStr">
        <is>
          <t>Santa Marta</t>
        </is>
      </c>
      <c r="H34" s="21" t="inlineStr">
        <is>
          <t>Calle 47 #17-65</t>
        </is>
      </c>
      <c r="I34" s="22" t="n">
        <v>45827.58345671296</v>
      </c>
      <c r="J34" s="22" t="n">
        <v>46265.67232091471</v>
      </c>
      <c r="K34" s="23" t="inlineStr">
        <is>
          <t>ACTUALIZADO</t>
        </is>
      </c>
      <c r="L34" s="20" t="inlineStr">
        <is>
          <t>Gerente de cuenta</t>
        </is>
      </c>
      <c r="M34" s="21" t="inlineStr">
        <is>
          <t>Pendiente verificacion</t>
        </is>
      </c>
      <c r="N34" s="21" t="inlineStr">
        <is>
          <t>Seguro de vida, Pension obligatoria, Cesantias</t>
        </is>
      </c>
      <c r="O34" s="24" t="n">
        <v>508</v>
      </c>
    </row>
    <row r="35" ht="25.5" customFormat="1" customHeight="1" s="3">
      <c r="A35" s="20" t="inlineStr">
        <is>
          <t>C-1030</t>
        </is>
      </c>
      <c r="B35" s="20" t="inlineStr">
        <is>
          <t>NIT</t>
        </is>
      </c>
      <c r="C35" s="20" t="inlineStr">
        <is>
          <t>1090000130</t>
        </is>
      </c>
      <c r="D35" s="21" t="inlineStr">
        <is>
          <t>Diego Martinez</t>
        </is>
      </c>
      <c r="E35" s="20" t="inlineStr">
        <is>
          <t>+573261525577</t>
        </is>
      </c>
      <c r="F35" s="20" t="inlineStr">
        <is>
          <t>diego.martinez74@example.com</t>
        </is>
      </c>
      <c r="G35" s="20" t="inlineStr">
        <is>
          <t>Popayan</t>
        </is>
      </c>
      <c r="H35" s="21" t="inlineStr">
        <is>
          <t>Calle 27 #5-65</t>
        </is>
      </c>
      <c r="I35" s="22" t="n">
        <v>45574.58345671296</v>
      </c>
      <c r="J35" s="22" t="n">
        <v>46267.67232091471</v>
      </c>
      <c r="K35" s="23" t="inlineStr">
        <is>
          <t>PENDIENTE</t>
        </is>
      </c>
      <c r="L35" s="20" t="inlineStr">
        <is>
          <t>Gerente de cuenta</t>
        </is>
      </c>
      <c r="M35" s="21" t="inlineStr">
        <is>
          <t>Contacto telefonico</t>
        </is>
      </c>
      <c r="N35" s="21" t="inlineStr">
        <is>
          <t>Pension voluntaria</t>
        </is>
      </c>
      <c r="O35" s="24" t="n">
        <v>543</v>
      </c>
    </row>
    <row r="36" ht="25.5" customFormat="1" customHeight="1" s="3">
      <c r="A36" s="20" t="inlineStr">
        <is>
          <t>C-1031</t>
        </is>
      </c>
      <c r="B36" s="20" t="inlineStr">
        <is>
          <t>CC</t>
        </is>
      </c>
      <c r="C36" s="20" t="inlineStr">
        <is>
          <t>1090000131</t>
        </is>
      </c>
      <c r="D36" s="21" t="inlineStr">
        <is>
          <t>Fernando Rodriguez</t>
        </is>
      </c>
      <c r="E36" s="20" t="inlineStr">
        <is>
          <t>+573512885949</t>
        </is>
      </c>
      <c r="F36" s="20" t="inlineStr">
        <is>
          <t>fernando.rodriguez74@example.com</t>
        </is>
      </c>
      <c r="G36" s="20" t="inlineStr">
        <is>
          <t>Bucaramanga</t>
        </is>
      </c>
      <c r="H36" s="21" t="inlineStr">
        <is>
          <t>Calle 24 #49-7</t>
        </is>
      </c>
      <c r="I36" s="22" t="n">
        <v>45823.58345671296</v>
      </c>
      <c r="J36" s="22" t="n">
        <v>46250.67232091471</v>
      </c>
      <c r="K36" s="25">
        <f>IF($A34="","",IF($J34="","Sin fecha",IF(TODAY()&lt;=EDATE($J34,12),"Actualizado",IF(TODAY()&lt;=EDATE($J34,15),"Pendiente de actualizar","Vencido"))))</f>
        <v/>
      </c>
      <c r="L36" s="20" t="inlineStr">
        <is>
          <t>Backoffice</t>
        </is>
      </c>
      <c r="M36" s="21" t="n"/>
      <c r="N36" s="21" t="inlineStr">
        <is>
          <t>Pension obligatoria, Cesantias, Fondo de inversion colectiva</t>
        </is>
      </c>
      <c r="O36" s="24" t="n">
        <v>819</v>
      </c>
    </row>
    <row r="37" ht="25.5" customFormat="1" customHeight="1" s="3">
      <c r="A37" s="20" t="inlineStr">
        <is>
          <t>C-1032</t>
        </is>
      </c>
      <c r="B37" s="20" t="inlineStr">
        <is>
          <t>CC</t>
        </is>
      </c>
      <c r="C37" s="20" t="inlineStr">
        <is>
          <t>1090000132</t>
        </is>
      </c>
      <c r="D37" s="21" t="inlineStr">
        <is>
          <t>Silvia Perez</t>
        </is>
      </c>
      <c r="E37" s="20" t="inlineStr">
        <is>
          <t>+573762882283</t>
        </is>
      </c>
      <c r="F37" s="20" t="inlineStr">
        <is>
          <t>silvia.perez55@example.com</t>
        </is>
      </c>
      <c r="G37" s="20" t="inlineStr">
        <is>
          <t>Pereira</t>
        </is>
      </c>
      <c r="H37" s="21" t="inlineStr">
        <is>
          <t>Calle 14 #17-1</t>
        </is>
      </c>
      <c r="I37" s="22" t="n">
        <v>45820.58345671296</v>
      </c>
      <c r="J37" s="22" t="n">
        <v>46252.67232091471</v>
      </c>
      <c r="K37" s="25">
        <f>IF($A35="","",IF($J35="","Sin fecha",IF(TODAY()&lt;=EDATE($J35,12),"Actualizado",IF(TODAY()&lt;=EDATE($J35,15),"Pendiente de actualizar","Vencido"))))</f>
        <v/>
      </c>
      <c r="L37" s="20" t="inlineStr">
        <is>
          <t>Backoffice</t>
        </is>
      </c>
      <c r="M37" s="21" t="inlineStr">
        <is>
          <t>Pendiente verificacion</t>
        </is>
      </c>
      <c r="N37" s="21" t="inlineStr">
        <is>
          <t>Fondo de inversion colectiva, Seguro de vida</t>
        </is>
      </c>
      <c r="O37" s="24" t="n">
        <v>800</v>
      </c>
    </row>
    <row r="38" ht="25.5" customFormat="1" customHeight="1" s="3">
      <c r="A38" s="20" t="inlineStr">
        <is>
          <t>C-1033</t>
        </is>
      </c>
      <c r="B38" s="20" t="inlineStr">
        <is>
          <t>CC</t>
        </is>
      </c>
      <c r="C38" s="20" t="inlineStr">
        <is>
          <t>1090000133</t>
        </is>
      </c>
      <c r="D38" s="21" t="inlineStr">
        <is>
          <t>Juan Sanchez</t>
        </is>
      </c>
      <c r="E38" s="20" t="n"/>
      <c r="F38" s="20" t="inlineStr">
        <is>
          <t>juan.sanchez37@example.com</t>
        </is>
      </c>
      <c r="G38" s="20" t="inlineStr">
        <is>
          <t>Popayan</t>
        </is>
      </c>
      <c r="H38" s="21" t="inlineStr">
        <is>
          <t>Calle 25 #21-61</t>
        </is>
      </c>
      <c r="I38" s="22" t="n">
        <v>45803.58345671296</v>
      </c>
      <c r="J38" s="22" t="n">
        <v>46249.67232091471</v>
      </c>
      <c r="K38" s="25">
        <f>IF($A36="","",IF($J36="","Sin fecha",IF(TODAY()&lt;=EDATE($J36,12),"Actualizado",IF(TODAY()&lt;=EDATE($J36,15),"Pendiente de actualizar","Vencido"))))</f>
        <v/>
      </c>
      <c r="L38" s="20" t="inlineStr">
        <is>
          <t>Gerente de cuenta</t>
        </is>
      </c>
      <c r="M38" s="21" t="inlineStr">
        <is>
          <t>Contacto telefonico</t>
        </is>
      </c>
      <c r="N38" s="21" t="inlineStr">
        <is>
          <t>Seguro de vida</t>
        </is>
      </c>
      <c r="O38" s="24" t="n">
        <v>727</v>
      </c>
    </row>
    <row r="39" ht="25.5" customFormat="1" customHeight="1" s="3">
      <c r="A39" s="20" t="inlineStr">
        <is>
          <t>C-1034</t>
        </is>
      </c>
      <c r="B39" s="20" t="inlineStr">
        <is>
          <t>CE</t>
        </is>
      </c>
      <c r="C39" s="20" t="inlineStr">
        <is>
          <t>1090000134</t>
        </is>
      </c>
      <c r="D39" s="21" t="inlineStr">
        <is>
          <t>Maria Ramirez</t>
        </is>
      </c>
      <c r="E39" s="20" t="n"/>
      <c r="F39" s="20" t="inlineStr">
        <is>
          <t>maria.ramirez95@example.com</t>
        </is>
      </c>
      <c r="G39" s="20" t="inlineStr">
        <is>
          <t>Manizales</t>
        </is>
      </c>
      <c r="H39" s="21" t="inlineStr">
        <is>
          <t>Calle 129 #21-35</t>
        </is>
      </c>
      <c r="I39" s="22" t="n">
        <v>45693.58345671296</v>
      </c>
      <c r="J39" s="22" t="n">
        <v>46274.67232091471</v>
      </c>
      <c r="K39" s="25">
        <f>IF($A37="","",IF($J37="","Sin fecha",IF(TODAY()&lt;=EDATE($J37,12),"Actualizado",IF(TODAY()&lt;=EDATE($J37,15),"Pendiente de actualizar","Vencido"))))</f>
        <v/>
      </c>
      <c r="L39" s="20" t="inlineStr">
        <is>
          <t>Gerente de cuenta</t>
        </is>
      </c>
      <c r="M39" s="21" t="inlineStr">
        <is>
          <t>Datos confirmados</t>
        </is>
      </c>
      <c r="N39" s="21" t="inlineStr">
        <is>
          <t>Cesantias, Pension voluntaria</t>
        </is>
      </c>
      <c r="O39" s="24" t="n">
        <v>680</v>
      </c>
    </row>
    <row r="40" ht="25.5" customFormat="1" customHeight="1" s="3">
      <c r="A40" s="20" t="inlineStr">
        <is>
          <t>C-1035</t>
        </is>
      </c>
      <c r="B40" s="20" t="inlineStr">
        <is>
          <t>CC</t>
        </is>
      </c>
      <c r="C40" s="20" t="inlineStr">
        <is>
          <t>1090000135</t>
        </is>
      </c>
      <c r="D40" s="21" t="inlineStr">
        <is>
          <t>Sandra Sanchez</t>
        </is>
      </c>
      <c r="E40" s="20" t="n"/>
      <c r="F40" s="20" t="inlineStr">
        <is>
          <t>sandra.sanchez80@example.com</t>
        </is>
      </c>
      <c r="G40" s="20" t="inlineStr">
        <is>
          <t>Armenia</t>
        </is>
      </c>
      <c r="H40" s="21" t="inlineStr">
        <is>
          <t>Calle 42 #12-5</t>
        </is>
      </c>
      <c r="I40" s="22" t="n">
        <v>45743.58345671296</v>
      </c>
      <c r="J40" s="22" t="n">
        <v>46251.67232091471</v>
      </c>
      <c r="K40" s="25">
        <f>IF($A38="","",IF($J38="","Sin fecha",IF(TODAY()&lt;=EDATE($J38,12),"Actualizado",IF(TODAY()&lt;=EDATE($J38,15),"Pendiente de actualizar","Vencido"))))</f>
        <v/>
      </c>
      <c r="L40" s="20" t="inlineStr">
        <is>
          <t>Gerente de cuenta</t>
        </is>
      </c>
      <c r="M40" s="21" t="n"/>
      <c r="N40" s="21" t="inlineStr">
        <is>
          <t>Pension obligatoria, Seguro de vida</t>
        </is>
      </c>
      <c r="O40" s="24" t="n">
        <v>454</v>
      </c>
    </row>
    <row r="41" ht="25.5" customFormat="1" customHeight="1" s="3">
      <c r="A41" s="20" t="inlineStr">
        <is>
          <t>C-1036</t>
        </is>
      </c>
      <c r="B41" s="20" t="inlineStr">
        <is>
          <t>PASAPORTE</t>
        </is>
      </c>
      <c r="C41" s="20" t="inlineStr">
        <is>
          <t>1090000136</t>
        </is>
      </c>
      <c r="D41" s="21" t="inlineStr">
        <is>
          <t>Carlos Garcia</t>
        </is>
      </c>
      <c r="E41" s="20" t="n"/>
      <c r="F41" s="20" t="inlineStr">
        <is>
          <t>carlos.garcia6@example.com</t>
        </is>
      </c>
      <c r="G41" s="20" t="inlineStr">
        <is>
          <t>Medellin</t>
        </is>
      </c>
      <c r="H41" s="21" t="inlineStr">
        <is>
          <t>Calle 82 #29-36</t>
        </is>
      </c>
      <c r="I41" s="22" t="n">
        <v>45616.58345671296</v>
      </c>
      <c r="J41" s="22" t="n">
        <v>46250.67232091471</v>
      </c>
      <c r="K41" s="25">
        <f>IF($A39="","",IF($J39="","Sin fecha",IF(TODAY()&lt;=EDATE($J39,12),"Actualizado",IF(TODAY()&lt;=EDATE($J39,15),"Pendiente de actualizar","Vencido"))))</f>
        <v/>
      </c>
      <c r="L41" s="20" t="inlineStr">
        <is>
          <t>Gerente de cuenta</t>
        </is>
      </c>
      <c r="M41" s="21" t="inlineStr">
        <is>
          <t>Pendiente verificacion</t>
        </is>
      </c>
      <c r="N41" s="21" t="inlineStr">
        <is>
          <t>Pension obligatoria</t>
        </is>
      </c>
      <c r="O41" s="24" t="n">
        <v>705</v>
      </c>
    </row>
    <row r="42" ht="25.5" customFormat="1" customHeight="1" s="3">
      <c r="A42" s="20" t="inlineStr">
        <is>
          <t>C-1037</t>
        </is>
      </c>
      <c r="B42" s="20" t="inlineStr">
        <is>
          <t>CE</t>
        </is>
      </c>
      <c r="C42" s="20" t="inlineStr">
        <is>
          <t>1090000137</t>
        </is>
      </c>
      <c r="D42" s="21" t="inlineStr">
        <is>
          <t>Silvia Castillo</t>
        </is>
      </c>
      <c r="E42" s="20" t="n"/>
      <c r="F42" s="20" t="inlineStr">
        <is>
          <t>silvia.castillo57@example.com</t>
        </is>
      </c>
      <c r="G42" s="20" t="inlineStr">
        <is>
          <t>Cucuta</t>
        </is>
      </c>
      <c r="H42" s="21" t="inlineStr">
        <is>
          <t>Calle 104 #20-54</t>
        </is>
      </c>
      <c r="I42" s="22" t="n">
        <v>45624.58345671296</v>
      </c>
      <c r="J42" s="22" t="n">
        <v>46248.67232091471</v>
      </c>
      <c r="K42" s="25">
        <f>IF($A40="","",IF($J40="","Sin fecha",IF(TODAY()&lt;=EDATE($J40,12),"Actualizado",IF(TODAY()&lt;=EDATE($J40,15),"Pendiente de actualizar","Vencido"))))</f>
        <v/>
      </c>
      <c r="L42" s="20" t="inlineStr">
        <is>
          <t>Gerente de cuenta</t>
        </is>
      </c>
      <c r="M42" s="21" t="inlineStr">
        <is>
          <t>Datos confirmados</t>
        </is>
      </c>
      <c r="N42" s="21" t="inlineStr">
        <is>
          <t>Pension voluntaria, Seguro de vida</t>
        </is>
      </c>
      <c r="O42" s="24" t="n">
        <v>743</v>
      </c>
    </row>
    <row r="43" ht="25.5" customFormat="1" customHeight="1" s="3">
      <c r="A43" s="20" t="inlineStr">
        <is>
          <t>C-1038</t>
        </is>
      </c>
      <c r="B43" s="20" t="inlineStr">
        <is>
          <t>NIT</t>
        </is>
      </c>
      <c r="C43" s="20" t="inlineStr">
        <is>
          <t>1090000138</t>
        </is>
      </c>
      <c r="D43" s="21" t="inlineStr">
        <is>
          <t>Jose Rodriguez</t>
        </is>
      </c>
      <c r="E43" s="20" t="inlineStr">
        <is>
          <t>+573193881309</t>
        </is>
      </c>
      <c r="F43" s="20" t="inlineStr">
        <is>
          <t>jose.rodriguez6@example.com</t>
        </is>
      </c>
      <c r="G43" s="20" t="inlineStr">
        <is>
          <t>Medellin</t>
        </is>
      </c>
      <c r="H43" s="21" t="inlineStr">
        <is>
          <t>Calle 42 #32-66</t>
        </is>
      </c>
      <c r="I43" s="22" t="n">
        <v>45590.58345671296</v>
      </c>
      <c r="J43" s="22" t="n">
        <v>46259.67232091471</v>
      </c>
      <c r="K43" s="25">
        <f>IF($A41="","",IF($J41="","Sin fecha",IF(TODAY()&lt;=EDATE($J41,12),"Actualizado",IF(TODAY()&lt;=EDATE($J41,15),"Pendiente de actualizar","Vencido"))))</f>
        <v/>
      </c>
      <c r="L43" s="20" t="inlineStr">
        <is>
          <t>Backoffice</t>
        </is>
      </c>
      <c r="M43" s="21" t="n"/>
      <c r="N43" s="21" t="inlineStr">
        <is>
          <t>Cesantias</t>
        </is>
      </c>
      <c r="O43" s="24" t="n">
        <v>819</v>
      </c>
    </row>
    <row r="44" ht="25.5" customFormat="1" customHeight="1" s="3">
      <c r="A44" s="20" t="inlineStr">
        <is>
          <t>C-1039</t>
        </is>
      </c>
      <c r="B44" s="20" t="inlineStr">
        <is>
          <t>CC</t>
        </is>
      </c>
      <c r="C44" s="20" t="inlineStr">
        <is>
          <t>1090000139</t>
        </is>
      </c>
      <c r="D44" s="21" t="inlineStr">
        <is>
          <t>Mariana Lopez</t>
        </is>
      </c>
      <c r="E44" s="20" t="inlineStr">
        <is>
          <t>+573140806786</t>
        </is>
      </c>
      <c r="F44" s="20" t="inlineStr">
        <is>
          <t>mariana.lopez73@example.com</t>
        </is>
      </c>
      <c r="G44" s="20" t="inlineStr">
        <is>
          <t>Ibague</t>
        </is>
      </c>
      <c r="H44" s="21" t="inlineStr">
        <is>
          <t>Calle 149 #50-83</t>
        </is>
      </c>
      <c r="I44" s="22" t="n">
        <v>45780.58345671296</v>
      </c>
      <c r="J44" s="22" t="n">
        <v>46251.67232091471</v>
      </c>
      <c r="K44" s="25">
        <f>IF($A42="","",IF($J42="","Sin fecha",IF(TODAY()&lt;=EDATE($J42,12),"Actualizado",IF(TODAY()&lt;=EDATE($J42,15),"Pendiente de actualizar","Vencido"))))</f>
        <v/>
      </c>
      <c r="L44" s="20" t="inlineStr">
        <is>
          <t>Backoffice</t>
        </is>
      </c>
      <c r="M44" s="21" t="inlineStr">
        <is>
          <t>Contacto telefonico</t>
        </is>
      </c>
      <c r="N44" s="21" t="inlineStr">
        <is>
          <t>Seguro de vida, Fondo de inversion colectiva</t>
        </is>
      </c>
      <c r="O44" s="24" t="n">
        <v>844</v>
      </c>
    </row>
    <row r="45" ht="25.5" customFormat="1" customHeight="1" s="3">
      <c r="A45" s="20" t="inlineStr">
        <is>
          <t>C-1040</t>
        </is>
      </c>
      <c r="B45" s="20" t="inlineStr">
        <is>
          <t>CC</t>
        </is>
      </c>
      <c r="C45" s="20" t="inlineStr">
        <is>
          <t>1090000140</t>
        </is>
      </c>
      <c r="D45" s="21" t="inlineStr">
        <is>
          <t>Maria Torres</t>
        </is>
      </c>
      <c r="E45" s="20" t="inlineStr">
        <is>
          <t>+573713980787</t>
        </is>
      </c>
      <c r="F45" s="20" t="inlineStr">
        <is>
          <t>maria.torres49@example.com</t>
        </is>
      </c>
      <c r="G45" s="20" t="inlineStr">
        <is>
          <t>Pasto</t>
        </is>
      </c>
      <c r="H45" s="21" t="inlineStr">
        <is>
          <t>Calle 29 #8-27</t>
        </is>
      </c>
      <c r="I45" s="22" t="n">
        <v>45785.58345671296</v>
      </c>
      <c r="J45" s="22" t="n">
        <v>46250.67232091471</v>
      </c>
      <c r="K45" s="25">
        <f>IF($A43="","",IF($J43="","Sin fecha",IF(TODAY()&lt;=EDATE($J43,12),"Actualizado",IF(TODAY()&lt;=EDATE($J43,15),"Pendiente de actualizar","Vencido"))))</f>
        <v/>
      </c>
      <c r="L45" s="20" t="inlineStr">
        <is>
          <t>Gerente de cuenta</t>
        </is>
      </c>
      <c r="M45" s="21" t="inlineStr">
        <is>
          <t>Datos confirmados</t>
        </is>
      </c>
      <c r="N45" s="21" t="inlineStr">
        <is>
          <t>Pension obligatoria, Fondo de inversion colectiva, Seguro de vida</t>
        </is>
      </c>
      <c r="O45" s="24" t="n">
        <v>696</v>
      </c>
    </row>
    <row r="46" ht="25.5" customFormat="1" customHeight="1" s="3">
      <c r="A46" s="20" t="inlineStr">
        <is>
          <t>C-1041</t>
        </is>
      </c>
      <c r="B46" s="20" t="inlineStr">
        <is>
          <t>NIT</t>
        </is>
      </c>
      <c r="C46" s="20" t="inlineStr">
        <is>
          <t>1090000141</t>
        </is>
      </c>
      <c r="D46" s="21" t="inlineStr">
        <is>
          <t>Rosa Dominguez</t>
        </is>
      </c>
      <c r="E46" s="20" t="n"/>
      <c r="F46" s="20" t="inlineStr">
        <is>
          <t>rosa.dominguez91@example.com</t>
        </is>
      </c>
      <c r="G46" s="20" t="inlineStr">
        <is>
          <t>Ibague</t>
        </is>
      </c>
      <c r="H46" s="21" t="inlineStr">
        <is>
          <t>Calle 35 #14-83</t>
        </is>
      </c>
      <c r="I46" s="22" t="n">
        <v>45754.58345671296</v>
      </c>
      <c r="J46" s="22" t="n">
        <v>46260.67232091471</v>
      </c>
      <c r="K46" s="25">
        <f>IF($A44="","",IF($J44="","Sin fecha",IF(TODAY()&lt;=EDATE($J44,12),"Actualizado",IF(TODAY()&lt;=EDATE($J44,15),"Pendiente de actualizar","Vencido"))))</f>
        <v/>
      </c>
      <c r="L46" s="20" t="inlineStr">
        <is>
          <t>Gerente de cuenta</t>
        </is>
      </c>
      <c r="M46" s="21" t="n"/>
      <c r="N46" s="21" t="inlineStr">
        <is>
          <t>Seguro de vida, Cesantias</t>
        </is>
      </c>
      <c r="O46" s="24" t="n">
        <v>716</v>
      </c>
    </row>
    <row r="47" ht="25.5" customFormat="1" customHeight="1" s="3">
      <c r="A47" s="20" t="inlineStr">
        <is>
          <t>C-1042</t>
        </is>
      </c>
      <c r="B47" s="20" t="inlineStr">
        <is>
          <t>NIT</t>
        </is>
      </c>
      <c r="C47" s="20" t="inlineStr">
        <is>
          <t>1090000142</t>
        </is>
      </c>
      <c r="D47" s="21" t="inlineStr">
        <is>
          <t>Sandra Rodriguez</t>
        </is>
      </c>
      <c r="E47" s="20" t="n"/>
      <c r="F47" s="20" t="inlineStr">
        <is>
          <t>sandra.rodriguez78@example.com</t>
        </is>
      </c>
      <c r="G47" s="20" t="inlineStr">
        <is>
          <t>Santa Marta</t>
        </is>
      </c>
      <c r="H47" s="21" t="inlineStr">
        <is>
          <t>Calle 10 #44-80</t>
        </is>
      </c>
      <c r="I47" s="22" t="n">
        <v>45900.58345671296</v>
      </c>
      <c r="J47" s="22" t="n">
        <v>46275.67232091471</v>
      </c>
      <c r="K47" s="25">
        <f>IF($A45="","",IF($J45="","Sin fecha",IF(TODAY()&lt;=EDATE($J45,12),"Actualizado",IF(TODAY()&lt;=EDATE($J45,15),"Pendiente de actualizar","Vencido"))))</f>
        <v/>
      </c>
      <c r="L47" s="20" t="inlineStr">
        <is>
          <t>Gerente de cuenta</t>
        </is>
      </c>
      <c r="M47" s="21" t="inlineStr">
        <is>
          <t>Datos confirmados</t>
        </is>
      </c>
      <c r="N47" s="21" t="inlineStr">
        <is>
          <t>Cesantias</t>
        </is>
      </c>
      <c r="O47" s="24" t="n">
        <v>825</v>
      </c>
    </row>
    <row r="48" ht="25.5" customFormat="1" customHeight="1" s="3">
      <c r="A48" s="20" t="inlineStr">
        <is>
          <t>C-1043</t>
        </is>
      </c>
      <c r="B48" s="20" t="inlineStr">
        <is>
          <t>NIT</t>
        </is>
      </c>
      <c r="C48" s="20" t="inlineStr">
        <is>
          <t>1090000143</t>
        </is>
      </c>
      <c r="D48" s="21" t="inlineStr">
        <is>
          <t>Rosa Ramirez</t>
        </is>
      </c>
      <c r="E48" s="20" t="n"/>
      <c r="F48" s="20" t="inlineStr">
        <is>
          <t>rosa.ramirez89@example.com</t>
        </is>
      </c>
      <c r="G48" s="20" t="inlineStr">
        <is>
          <t>Pasto</t>
        </is>
      </c>
      <c r="H48" s="21" t="inlineStr">
        <is>
          <t>Calle 95 #44-48</t>
        </is>
      </c>
      <c r="I48" s="22" t="n">
        <v>45817.58345671296</v>
      </c>
      <c r="J48" s="22" t="n">
        <v>46261.67232091471</v>
      </c>
      <c r="K48" s="25">
        <f>IF($A46="","",IF($J46="","Sin fecha",IF(TODAY()&lt;=EDATE($J46,12),"Actualizado",IF(TODAY()&lt;=EDATE($J46,15),"Pendiente de actualizar","Vencido"))))</f>
        <v/>
      </c>
      <c r="L48" s="20" t="inlineStr">
        <is>
          <t>Backoffice</t>
        </is>
      </c>
      <c r="M48" s="21" t="inlineStr">
        <is>
          <t>Contacto telefonico</t>
        </is>
      </c>
      <c r="N48" s="21" t="inlineStr">
        <is>
          <t>Seguro de vida, Pension obligatoria</t>
        </is>
      </c>
      <c r="O48" s="24" t="n">
        <v>814</v>
      </c>
    </row>
    <row r="49" ht="25.5" customFormat="1" customHeight="1" s="3">
      <c r="A49" s="20" t="inlineStr">
        <is>
          <t>C-1044</t>
        </is>
      </c>
      <c r="B49" s="20" t="inlineStr">
        <is>
          <t>PASAPORTE</t>
        </is>
      </c>
      <c r="C49" s="20" t="inlineStr">
        <is>
          <t>1090000144</t>
        </is>
      </c>
      <c r="D49" s="21" t="inlineStr">
        <is>
          <t>Jose Cruz</t>
        </is>
      </c>
      <c r="E49" s="20" t="n"/>
      <c r="F49" s="20" t="inlineStr">
        <is>
          <t>jose.cruz95@example.com</t>
        </is>
      </c>
      <c r="G49" s="20" t="inlineStr">
        <is>
          <t>Pasto</t>
        </is>
      </c>
      <c r="H49" s="21" t="inlineStr">
        <is>
          <t>Calle 4 #12-25</t>
        </is>
      </c>
      <c r="I49" s="22" t="n">
        <v>45629.58345671296</v>
      </c>
      <c r="J49" s="22" t="n">
        <v>46252.67232091471</v>
      </c>
      <c r="K49" s="25">
        <f>IF($A47="","",IF($J47="","Sin fecha",IF(TODAY()&lt;=EDATE($J47,12),"Actualizado",IF(TODAY()&lt;=EDATE($J47,15),"Pendiente de actualizar","Vencido"))))</f>
        <v/>
      </c>
      <c r="L49" s="20" t="inlineStr">
        <is>
          <t>Asesor comercial</t>
        </is>
      </c>
      <c r="M49" s="21" t="inlineStr">
        <is>
          <t>Contacto telefonico</t>
        </is>
      </c>
      <c r="N49" s="21" t="inlineStr">
        <is>
          <t>Cesantias</t>
        </is>
      </c>
      <c r="O49" s="24" t="n">
        <v>820</v>
      </c>
    </row>
    <row r="50" ht="18.75" customFormat="1" customHeight="1" s="3">
      <c r="A50" s="20" t="inlineStr">
        <is>
          <t>C-1045</t>
        </is>
      </c>
      <c r="B50" s="20" t="inlineStr">
        <is>
          <t>CE</t>
        </is>
      </c>
      <c r="C50" s="20" t="inlineStr">
        <is>
          <t>1090000145</t>
        </is>
      </c>
      <c r="D50" s="21" t="inlineStr">
        <is>
          <t>Diego Castillo</t>
        </is>
      </c>
      <c r="E50" s="20" t="n"/>
      <c r="F50" s="20" t="inlineStr">
        <is>
          <t>diego.castillo35@example.com</t>
        </is>
      </c>
      <c r="G50" s="20" t="inlineStr">
        <is>
          <t>Medellin</t>
        </is>
      </c>
      <c r="H50" s="21" t="inlineStr">
        <is>
          <t>Calle 25 #47-16</t>
        </is>
      </c>
      <c r="I50" s="22" t="n">
        <v>45753.58345671296</v>
      </c>
      <c r="J50" s="22" t="n">
        <v>46259.67232091471</v>
      </c>
      <c r="K50" s="25">
        <f>IF($A48="","",IF($J48="","Sin fecha",IF(TODAY()&lt;=EDATE($J48,12),"Actualizado",IF(TODAY()&lt;=EDATE($J48,15),"Pendiente de actualizar","Vencido"))))</f>
        <v/>
      </c>
      <c r="L50" s="20" t="inlineStr">
        <is>
          <t>Backoffice</t>
        </is>
      </c>
      <c r="M50" s="21" t="inlineStr">
        <is>
          <t>Datos confirmados</t>
        </is>
      </c>
      <c r="N50" s="21" t="inlineStr">
        <is>
          <t>Pension obligatoria</t>
        </is>
      </c>
      <c r="O50" s="24" t="n">
        <v>601</v>
      </c>
    </row>
    <row r="51" ht="25.5" customFormat="1" customHeight="1" s="3">
      <c r="A51" s="20" t="inlineStr">
        <is>
          <t>C-1046</t>
        </is>
      </c>
      <c r="B51" s="20" t="inlineStr">
        <is>
          <t>PASAPORTE</t>
        </is>
      </c>
      <c r="C51" s="20" t="inlineStr">
        <is>
          <t>1090000146</t>
        </is>
      </c>
      <c r="D51" s="21" t="inlineStr">
        <is>
          <t>Silvia Torres</t>
        </is>
      </c>
      <c r="E51" s="20" t="inlineStr">
        <is>
          <t>+573163847817</t>
        </is>
      </c>
      <c r="F51" s="20" t="inlineStr">
        <is>
          <t>silvia.torres90@example.com</t>
        </is>
      </c>
      <c r="G51" s="20" t="inlineStr">
        <is>
          <t>Manizales</t>
        </is>
      </c>
      <c r="H51" s="21" t="inlineStr">
        <is>
          <t>Calle 119 #12-40</t>
        </is>
      </c>
      <c r="I51" s="22" t="n">
        <v>45739.58345671296</v>
      </c>
      <c r="J51" s="22" t="n">
        <v>46267.67232091471</v>
      </c>
      <c r="K51" s="25">
        <f>IF($A49="","",IF($J49="","Sin fecha",IF(TODAY()&lt;=EDATE($J49,12),"Actualizado",IF(TODAY()&lt;=EDATE($J49,15),"Pendiente de actualizar","Vencido"))))</f>
        <v/>
      </c>
      <c r="L51" s="20" t="inlineStr">
        <is>
          <t>Asesor comercial</t>
        </is>
      </c>
      <c r="M51" s="21" t="inlineStr">
        <is>
          <t>Contacto telefonico</t>
        </is>
      </c>
      <c r="N51" s="21" t="inlineStr">
        <is>
          <t>Fondo de inversion colectiva, Pension voluntaria, Seguro de vida</t>
        </is>
      </c>
      <c r="O51" s="24" t="n">
        <v>703</v>
      </c>
    </row>
    <row r="52" ht="25.5" customFormat="1" customHeight="1" s="3">
      <c r="A52" s="20" t="inlineStr">
        <is>
          <t>C-1047</t>
        </is>
      </c>
      <c r="B52" s="20" t="inlineStr">
        <is>
          <t>CC</t>
        </is>
      </c>
      <c r="C52" s="20" t="inlineStr">
        <is>
          <t>1090000147</t>
        </is>
      </c>
      <c r="D52" s="21" t="inlineStr">
        <is>
          <t>Jose Torres</t>
        </is>
      </c>
      <c r="E52" s="20" t="n"/>
      <c r="F52" s="20" t="inlineStr">
        <is>
          <t>jose.torres31@example.com</t>
        </is>
      </c>
      <c r="G52" s="20" t="inlineStr">
        <is>
          <t>Barranquilla</t>
        </is>
      </c>
      <c r="H52" s="21" t="inlineStr">
        <is>
          <t>Calle 103 #13-47</t>
        </is>
      </c>
      <c r="I52" s="22" t="n">
        <v>45695.58345671296</v>
      </c>
      <c r="J52" s="22" t="n">
        <v>46268.67232091471</v>
      </c>
      <c r="K52" s="25">
        <f>IF($A50="","",IF($J50="","Sin fecha",IF(TODAY()&lt;=EDATE($J50,12),"Actualizado",IF(TODAY()&lt;=EDATE($J50,15),"Pendiente de actualizar","Vencido"))))</f>
        <v/>
      </c>
      <c r="L52" s="20" t="inlineStr">
        <is>
          <t>Asesor comercial</t>
        </is>
      </c>
      <c r="M52" s="21" t="inlineStr">
        <is>
          <t>Pendiente verificacion</t>
        </is>
      </c>
      <c r="N52" s="21" t="inlineStr">
        <is>
          <t>Cesantias, Fondo de inversion colectiva</t>
        </is>
      </c>
      <c r="O52" s="24" t="n">
        <v>469</v>
      </c>
    </row>
    <row r="53" ht="18.75" customFormat="1" customHeight="1" s="3">
      <c r="A53" s="20" t="inlineStr">
        <is>
          <t>C-1048</t>
        </is>
      </c>
      <c r="B53" s="20" t="inlineStr">
        <is>
          <t>PASAPORTE</t>
        </is>
      </c>
      <c r="C53" s="20" t="inlineStr">
        <is>
          <t>1090000148</t>
        </is>
      </c>
      <c r="D53" s="21" t="inlineStr">
        <is>
          <t>Carlos Rodriguez</t>
        </is>
      </c>
      <c r="E53" s="20" t="n"/>
      <c r="F53" s="20" t="inlineStr">
        <is>
          <t>carlos.rodriguez51@example.com</t>
        </is>
      </c>
      <c r="G53" s="20" t="inlineStr">
        <is>
          <t>Armenia</t>
        </is>
      </c>
      <c r="H53" s="21" t="inlineStr">
        <is>
          <t>Calle 69 #46-26</t>
        </is>
      </c>
      <c r="I53" s="22" t="n">
        <v>45662.58345671296</v>
      </c>
      <c r="J53" s="22" t="n">
        <v>46256.67232091471</v>
      </c>
      <c r="K53" s="25">
        <f>IF($A51="","",IF($J51="","Sin fecha",IF(TODAY()&lt;=EDATE($J51,12),"Actualizado",IF(TODAY()&lt;=EDATE($J51,15),"Pendiente de actualizar","Vencido"))))</f>
        <v/>
      </c>
      <c r="L53" s="20" t="inlineStr">
        <is>
          <t>Gerente de cuenta</t>
        </is>
      </c>
      <c r="M53" s="21" t="inlineStr">
        <is>
          <t>Datos confirmados</t>
        </is>
      </c>
      <c r="N53" s="21" t="inlineStr">
        <is>
          <t>Seguro de vida, Cesantias</t>
        </is>
      </c>
      <c r="O53" s="24" t="n">
        <v>776</v>
      </c>
    </row>
    <row r="54" ht="18.75" customFormat="1" customHeight="1" s="3">
      <c r="A54" s="20" t="inlineStr">
        <is>
          <t>C-1049</t>
        </is>
      </c>
      <c r="B54" s="20" t="inlineStr">
        <is>
          <t>CC</t>
        </is>
      </c>
      <c r="C54" s="20" t="inlineStr">
        <is>
          <t>1090000149</t>
        </is>
      </c>
      <c r="D54" s="21" t="inlineStr">
        <is>
          <t>Miguel Vargas</t>
        </is>
      </c>
      <c r="E54" s="20" t="inlineStr">
        <is>
          <t>+573352564685</t>
        </is>
      </c>
      <c r="F54" s="20" t="inlineStr">
        <is>
          <t>miguel.vargas20@example.com</t>
        </is>
      </c>
      <c r="G54" s="20" t="inlineStr">
        <is>
          <t>Bucaramanga</t>
        </is>
      </c>
      <c r="H54" s="21" t="inlineStr">
        <is>
          <t>Calle 116 #6-98</t>
        </is>
      </c>
      <c r="I54" s="22" t="n">
        <v>45846.58345671296</v>
      </c>
      <c r="J54" s="22" t="n">
        <v>46259.67232091471</v>
      </c>
      <c r="K54" s="25">
        <f>IF($A52="","",IF($J52="","Sin fecha",IF(TODAY()&lt;=EDATE($J52,12),"Actualizado",IF(TODAY()&lt;=EDATE($J52,15),"Pendiente de actualizar","Vencido"))))</f>
        <v/>
      </c>
      <c r="L54" s="20" t="inlineStr">
        <is>
          <t>Backoffice</t>
        </is>
      </c>
      <c r="M54" s="21" t="inlineStr">
        <is>
          <t>Contacto telefonico</t>
        </is>
      </c>
      <c r="N54" s="21" t="inlineStr">
        <is>
          <t>Fondo de inversion colectiva</t>
        </is>
      </c>
      <c r="O54" s="24" t="n">
        <v>760</v>
      </c>
    </row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/>
    <pageSetUpPr/>
  </sheetPr>
  <dimension ref="A1:D9"/>
  <sheetViews>
    <sheetView workbookViewId="0">
      <selection activeCell="A1" sqref="A1"/>
    </sheetView>
  </sheetViews>
  <sheetFormatPr baseColWidth="8" defaultRowHeight="15"/>
  <cols>
    <col width="32.005" bestFit="1" customWidth="1" style="12" min="1" max="1"/>
    <col width="16.005" bestFit="1" customWidth="1" style="13" min="2" max="2"/>
    <col width="4.005" bestFit="1" customWidth="1" style="2" min="3" max="3"/>
    <col width="4.005" bestFit="1" customWidth="1" style="2" min="4" max="4"/>
  </cols>
  <sheetData>
    <row r="1" ht="25.5" customFormat="1" customHeight="1" s="3">
      <c r="A1" s="4" t="inlineStr">
        <is>
          <t>Resumen de actualización de datos</t>
        </is>
      </c>
      <c r="B1" s="27" t="n"/>
      <c r="C1" s="27" t="n"/>
      <c r="D1" s="28" t="n"/>
    </row>
    <row r="2" ht="23.85" customFormat="1" customHeight="1" s="3">
      <c r="A2" s="7" t="inlineStr">
        <is>
          <t>Estos indicadores se recalculan automáticamente a partir de la hoja "Clientes".</t>
        </is>
      </c>
    </row>
    <row r="3" ht="18.75" customHeight="1">
      <c r="A3" s="12" t="n"/>
      <c r="B3" s="13" t="n"/>
      <c r="C3" s="2" t="n"/>
      <c r="D3" s="2" t="n"/>
    </row>
    <row r="4" ht="15.75" customFormat="1" customHeight="1" s="3">
      <c r="A4" s="9" t="inlineStr">
        <is>
          <t>Total de clientes</t>
        </is>
      </c>
      <c r="B4" s="10">
        <f>COUNTIF('Clientes'!$A$3:$A$302,"&lt;&gt;")</f>
        <v/>
      </c>
      <c r="C4" s="6" t="n"/>
      <c r="D4" s="6" t="n"/>
    </row>
    <row r="5" ht="15.75" customFormat="1" customHeight="1" s="3">
      <c r="A5" s="9" t="inlineStr">
        <is>
          <t>Clientes actualizados</t>
        </is>
      </c>
      <c r="B5" s="10">
        <f>COUNTIF('Clientes'!$K$3:$K$302,"Actualizado")</f>
        <v/>
      </c>
      <c r="C5" s="6" t="n"/>
      <c r="D5" s="6" t="n"/>
    </row>
    <row r="6" ht="30" customFormat="1" customHeight="1" s="3">
      <c r="A6" s="9" t="inlineStr">
        <is>
          <t>Clientes pendientes de actualizar</t>
        </is>
      </c>
      <c r="B6" s="10">
        <f>COUNTIF('Clientes'!$K$3:$K$302,"Pendiente de actualizar")</f>
        <v/>
      </c>
      <c r="C6" s="6" t="n"/>
      <c r="D6" s="6" t="n"/>
    </row>
    <row r="7" ht="15.75" customFormat="1" customHeight="1" s="3">
      <c r="A7" s="9" t="inlineStr">
        <is>
          <t>Clientes vencidos</t>
        </is>
      </c>
      <c r="B7" s="10">
        <f>COUNTIF('Clientes'!$K$3:$K$302,"Vencido")</f>
        <v/>
      </c>
      <c r="C7" s="6" t="n"/>
      <c r="D7" s="6" t="n"/>
    </row>
    <row r="8" ht="15.75" customFormat="1" customHeight="1" s="3">
      <c r="A8" s="9" t="inlineStr">
        <is>
          <t>Porcentaje de actualización</t>
        </is>
      </c>
      <c r="B8" s="11">
        <f>IFERROR(B5/B4,0)</f>
        <v/>
      </c>
      <c r="C8" s="6" t="n"/>
      <c r="D8" s="6" t="n"/>
    </row>
    <row r="9" ht="15.75" customFormat="1" customHeight="1" s="3">
      <c r="A9" s="9" t="inlineStr">
        <is>
          <t>Score crediticio promedio</t>
        </is>
      </c>
      <c r="B9" s="10">
        <f>IFERROR(AVERAGE('Clientes'!$O$3:$O$302),0)</f>
        <v/>
      </c>
      <c r="C9" s="6" t="n"/>
      <c r="D9" s="6" t="n"/>
    </row>
  </sheetData>
  <mergeCells count="2">
    <mergeCell ref="A1:D1"/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C6"/>
  <sheetViews>
    <sheetView workbookViewId="0">
      <selection activeCell="A1" sqref="A1"/>
    </sheetView>
  </sheetViews>
  <sheetFormatPr baseColWidth="8" defaultRowHeight="15"/>
  <cols>
    <col width="22.005" bestFit="1" customWidth="1" style="2" min="1" max="1"/>
    <col width="28.005" bestFit="1" customWidth="1" style="2" min="2" max="2"/>
    <col width="30.005" bestFit="1" customWidth="1" style="2" min="3" max="3"/>
  </cols>
  <sheetData>
    <row r="1" ht="18.75" customHeight="1">
      <c r="A1" s="2" t="inlineStr">
        <is>
          <t>Tipo de documento</t>
        </is>
      </c>
      <c r="B1" s="2" t="inlineStr">
        <is>
          <t>Responsable de la actualización</t>
        </is>
      </c>
      <c r="C1" s="2" t="inlineStr">
        <is>
          <t>Catálogo de productos (referencia)</t>
        </is>
      </c>
    </row>
    <row r="2" ht="18.75" customHeight="1">
      <c r="A2" s="2" t="inlineStr">
        <is>
          <t>CC</t>
        </is>
      </c>
      <c r="B2" s="2" t="inlineStr">
        <is>
          <t>Cliente (autogestión)</t>
        </is>
      </c>
      <c r="C2" s="2" t="inlineStr">
        <is>
          <t>Pensión obligatoria</t>
        </is>
      </c>
    </row>
    <row r="3" ht="18.75" customHeight="1">
      <c r="A3" s="2" t="inlineStr">
        <is>
          <t>CE</t>
        </is>
      </c>
      <c r="B3" s="2" t="inlineStr">
        <is>
          <t>Asesor comercial</t>
        </is>
      </c>
      <c r="C3" s="2" t="inlineStr">
        <is>
          <t>Pensión voluntaria</t>
        </is>
      </c>
    </row>
    <row r="4" ht="18.75" customHeight="1">
      <c r="A4" s="2" t="inlineStr">
        <is>
          <t>NIT</t>
        </is>
      </c>
      <c r="B4" s="2" t="inlineStr">
        <is>
          <t>Backoffice</t>
        </is>
      </c>
      <c r="C4" s="2" t="inlineStr">
        <is>
          <t>Cesantías</t>
        </is>
      </c>
    </row>
    <row r="5" ht="18.75" customHeight="1">
      <c r="A5" s="2" t="inlineStr">
        <is>
          <t>Pasaporte</t>
        </is>
      </c>
      <c r="B5" s="2" t="inlineStr">
        <is>
          <t>Call center</t>
        </is>
      </c>
      <c r="C5" s="2" t="inlineStr">
        <is>
          <t>Seguro de vida</t>
        </is>
      </c>
    </row>
    <row r="6" ht="18.75" customHeight="1">
      <c r="A6" s="2" t="inlineStr">
        <is>
          <t>Tarjeta de identidad</t>
        </is>
      </c>
      <c r="B6" s="2" t="inlineStr">
        <is>
          <t>Otro</t>
        </is>
      </c>
      <c r="C6" s="2" t="inlineStr">
        <is>
          <t>Fondo de inversión colectiva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2026-09-11T18:59:30Z</dcterms:created>
  <dcterms:modified xsi:type="dcterms:W3CDTF">2026-09-11T21:08:08Z</dcterms:modified>
</cp:coreProperties>
</file>